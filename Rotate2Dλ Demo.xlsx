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trlProps/ctrlProp1.xml" ContentType="application/vnd.ms-excel.controlpropertie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Metadata/LabelInfo.xml" ContentType="application/vnd.ms-office.classificationlabels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microsoft.com/office/2011/relationships/webextensiontaskpanes" Target="xl/webextensions/taskpanes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extended-properties" Target="docProps/app.xml"/><Relationship Id="rId4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https://edgewater-my.sharepoint.com/personal/pat_hogan_alithya_com/Documents/"/>
    </mc:Choice>
  </mc:AlternateContent>
  <xr:revisionPtr revIDLastSave="683" documentId="8_{F831E75E-7B13-45D7-B949-EDF501AC1C48}" xr6:coauthVersionLast="47" xr6:coauthVersionMax="47" xr10:uidLastSave="{62786E36-8D57-4B6A-903B-92E1EC650754}"/>
  <bookViews>
    <workbookView xWindow="28680" yWindow="-120" windowWidth="29040" windowHeight="15720" xr2:uid="{1E7C3AAE-37B5-4AAF-BCBC-C57E9C77261B}"/>
  </bookViews>
  <sheets>
    <sheet name="Start" sheetId="3" r:id="rId1"/>
    <sheet name="Ulam spiral rotation" sheetId="1" r:id="rId2"/>
  </sheets>
  <definedNames>
    <definedName name="Clock">Start!$L$4:$N$8</definedName>
    <definedName name="direction">'Ulam spiral rotation'!$D$20</definedName>
    <definedName name="input_rot">'Ulam spiral rotation'!$C$20</definedName>
    <definedName name="Letters">Start!$E$4:$I$8</definedName>
    <definedName name="MGridλ">_xlfn.LAMBDA(_xlpm.grid,_xlop.col_index, _xlfn.LET(_xlpm.RowIdx?, _xlfn.ISOMITTED(_xlpm.col_index), _xlpm.h, ROWS(_xlpm.grid), _xlpm.w, COLUMNS(_xlpm.grid), _xlpm.i, _xlfn.LAMBDA(Resizeλ(_xlfn.SEQUENCE(_xlpm.h), , _xlpm.w)), _xlpm.j, _xlfn.LAMBDA(Resizeλ(_xlfn.SEQUENCE(, _xlpm.w), _xlpm.h)), _xlpm.idx, IF(_xlpm.RowIdx?, _xlpm.i(), _xlpm.j()), _xlpm.idx))</definedName>
    <definedName name="Resizeλ">_xlfn.LAMBDA(_xlpm.array,_xlop.height,_xlop.width, _xlfn.LET(_xlpm.h, ROWS(_xlpm.array), _xlpm.w, COLUMNS(_xlpm.array), _xlpm.HeightOmitted?, _xlfn.ISOMITTED(_xlpm.height), _xlpm.WidthOmitted?, _xlfn.ISOMITTED(_xlpm.width), _xlpm.NoHWInput?, _xlpm.HeightOmitted? + _xlpm.WidthOmitted? = 2, _xlpm.height, IF(OR(_xlpm.NoHWInput?, _xlpm.HeightOmitted?), 1, _xlpm.height), _xlpm.width, IF(OR(_xlpm.NoHWInput?, _xlpm.WidthOmitted?), 1, _xlpm.width), _xlpm.NoRepeat?, AND(_xlpm.height = 1, _xlpm.width = 1), _xlpm.IsScalar?, AND(_xlpm.h = 1, _xlpm.w = 1), _xlpm.ExpandScalar, _xlfn.EXPAND(_xlpm.array, _xlpm.height, _xlpm.width, _xlpm.array), _xlpm.InvalidRepeat?, OR(ISTEXT(_xlpm.height), ISTEXT(_xlpm.width), OR(AND(ISNUMBER(_xlpm.height), _xlpm.height &lt;= 0), AND(ISNUMBER(_xlpm.width), _xlpm.width &lt;= 0))), IF(_xlpm.NoRepeat?, _xlpm.array, IF(_xlpm.IsScalar?, _xlpm.ExpandScalar, IF(_xlpm.InvalidRepeat?, _xlpm.array, _xlfn.LET(_xlpm.k, _xlpm.h * _xlpm.height, _xlpm.k₂, _xlpm.w * _xlpm.width, _xlpm.i, _xlfn.LAMBDA(1 + MOD(_xlfn.SEQUENCE(_xlpm.k, , 0, ), _xlpm.h) * _xlfn.SEQUENCE(, _xlpm.k₂, 1, 0)), _xlpm.j, _xlfn.LAMBDA(1 + MOD(_xlfn.SEQUENCE(, _xlpm.k₂, 0), _xlpm.w) * _xlfn.SEQUENCE(_xlpm.k, , 1, 0)), _xlpm.new_arr, INDEX(_xlpm.array, _xlpm.i(), _xlpm.j()), _xlpm.new_arr))))))</definedName>
    <definedName name="RingRotateRevλ">_xlfn.LAMBDA(_xlpm.grid,_xlpm.layer,_xlop.rotations, _xlfn.LET(_xlpm.rotations, IF(_xlfn.ISOMITTED(_xlpm.rotations), 1, _xlpm.rotations), _xlpm.InvalidRot?, OR(ISTEXT(_xlpm.rotations), _xlpm.rotations &lt; 0), _xlpm.i, MGridλ(_xlpm.grid), _xlpm.j, MGridλ(_xlpm.grid, 1), _xlpm.h, ROWS(_xlpm.grid), _xlpm.w, COLUMNS(_xlpm.grid), _xlpm.ring, Ringλ(_xlpm.grid, _xlpm.layer, ""), _xlpm.squeezed, Squeezeλ(_xlpm.ring, ""), _xlpm.Is1D?, OR(ROWS(_xlpm.squeezed) = 1, COLUMNS(_xlpm.squeezed) = 1), _xlpm.Two_x_Two, AND(ROWS(_xlpm.ring) = 2, COLUMNS(_xlpm.ring) = 2), _xlpm.traversed, IF(_xlpm.Two_x_Two, Traverseλ(_xlpm.ring, 3), FALSE), IF(_xlpm.InvalidRot?, "#ROTATIONS!", IF(_xlpm.Is1D?, _xlpm.grid, IF(_xlpm.Two_x_Two, _xlpm.traversed, _xlfn.LET(_xlpm.occupied?, LEN(_xlpm.ring) &lt;&gt; 0, _xlpm.top, _xlpm.occupied? * (_xlpm.i = _xlpm.layer) * (_xlpm.j &lt;= _xlpm.w - _xlpm.layer), _xlpm.left, _xlpm.occupied? * (_xlpm.j = _xlpm.layer) * (_xlpm.i &gt; _xlpm.layer) * (_xlpm.i &lt;= _xlpm.h - _xlpm.layer + 1), _xlpm.right, _xlpm.occupied? * (_xlpm.j = _xlpm.w - _xlpm.layer + 1) * (_xlpm.i &gt;= _xlpm.layer) * (_xlpm.i &lt; _xlpm.h - _xlpm.layer + 1), _xlpm.bottom, _xlpm.occupied? * (_xlpm.i = _xlpm.h - _xlpm.layer + 1) * (_xlpm.j &gt; _xlpm.layer) * (_xlpm.j &lt;= _xlpm.w - _xlpm.layer + 1), _xlpm.Decideλ, _xlfn.LAMBDA(_xlpm.logic1,_xlpm.true1,_xlpm.logic2,_xlpm.true2,_xlpm.logic3,_xlpm.true3,_xlpm.logic4,_xlpm.true4,_xlpm.fallback, IF(_xlpm.logic1, _xlpm.true1, IF(_xlpm.logic2, _xlpm.true2, IF(_xlpm.logic3, _xlpm.true3, IF(_xlpm.logic4, _xlpm.true4, _xlpm.fallback))))), _xlpm.r, _xlpm.i + _xlpm.Decideλ(_xlpm.top, 0, _xlpm.bottom, 0, _xlpm.left, -1, _xlpm.right, 1, 0), _xlpm.c, _xlpm.j + _xlpm.Decideλ(_xlpm.top, 1, _xlpm.bottom, -1, _xlpm.left, 0, _xlpm.right, 0, 0), _xlpm.rotated, INDEX(_xlpm.grid, _xlpm.r, _xlpm.c), IF(_xlpm.rotations = 0, _xlpm.grid, RingRotateRevλ(_xlpm.rotated, _xlpm.layer, _xlpm.rotations - 1))))))))</definedName>
    <definedName name="RingRotateλ">_xlfn.LAMBDA(_xlpm.grid,_xlpm.layer,_xlop.rotations, _xlfn.LET(_xlpm.rotations, IF(_xlfn.ISOMITTED(_xlpm.rotations), 1, _xlpm.rotations), _xlpm.InvalidRot?, OR(ISTEXT(_xlpm.rotations), _xlpm.rotations &lt; 0), _xlpm.i, MGridλ(_xlpm.grid), _xlpm.j, MGridλ(_xlpm.grid, 1), _xlpm.h, ROWS(_xlpm.grid), _xlpm.w, COLUMNS(_xlpm.grid), _xlpm.ring, Ringλ(_xlpm.grid, _xlpm.layer, ""), _xlpm.squeezed, Squeezeλ(_xlpm.ring, ""), _xlpm.Is1D?, OR(ROWS(_xlpm.squeezed) = 1, COLUMNS(_xlpm.squeezed) = 1), _xlpm.Two_x_Two, AND(ROWS(_xlpm.ring) = 2, COLUMNS(_xlpm.ring) = 2), _xlpm.traversed, IF(_xlpm.Two_x_Two, Traverseλ(_xlpm.ring, 3), FALSE), IF(_xlpm.InvalidRot?, "#ROTATIONS!", IF(_xlpm.Is1D?, _xlpm.grid, IF(_xlpm.Two_x_Two, _xlpm.traversed, _xlfn.LET(_xlpm.occupied?, LEN(_xlpm.ring) &lt;&gt; 0, _xlpm.top, _xlpm.occupied? * (_xlpm.i = _xlpm.layer) * (_xlpm.j &gt; _xlpm.layer) * (_xlpm.j &lt;= _xlpm.w - _xlpm.layer + 1), _xlpm.left, _xlpm.occupied? * (_xlpm.j = _xlpm.layer) * (_xlpm.i &gt;= _xlpm.layer) * (_xlpm.i &lt; _xlpm.h - _xlpm.layer + 1), _xlpm.right, _xlpm.occupied? * (_xlpm.j = _xlpm.w - _xlpm.layer + 1) * (_xlpm.i &gt;= _xlpm.layer + 1) * (_xlpm.i &lt;= _xlpm.h - _xlpm.layer + 1), _xlpm.bottom, _xlpm.occupied? * (_xlpm.i = _xlpm.h - _xlpm.layer + 1) * (_xlpm.j &gt;= _xlpm.layer) * (_xlpm.j &lt; _xlpm.w - _xlpm.layer + 1), _xlpm.Decideλ, _xlfn.LAMBDA(_xlpm.logic1,_xlpm.true1,_xlpm.logic2,_xlpm.true2,_xlpm.logic3,_xlpm.true3,_xlpm.logic4,_xlpm.true4,_xlpm.fallback, IF(_xlpm.logic1, _xlpm.true1, IF(_xlpm.logic2, _xlpm.true2, IF(_xlpm.logic3, _xlpm.true3, IF(_xlpm.logic4, _xlpm.true4, _xlpm.fallback))))), _xlpm.r, _xlpm.i + _xlpm.Decideλ(_xlpm.top, 0, _xlpm.bottom, 0, _xlpm.left, 1, _xlpm.right, -1, 0), _xlpm.c, _xlpm.j + _xlpm.Decideλ(_xlpm.top, -1, _xlpm.bottom, 1, _xlpm.left, 0, _xlpm.right, 0, 0), _xlpm.rotated, INDEX(_xlpm.grid, _xlpm.r, _xlpm.c), IF(_xlpm.rotations = 0, _xlpm.grid, RingRotateλ(_xlpm.rotated, _xlpm.layer, _xlpm.rotations - 1))))))))</definedName>
    <definedName name="Ringλ">_xlfn.LAMBDA(_xlpm.grid,_xlpm.layer,_xlop.fill_value, _xlfn.LET(_xlpm.h, ROWS(_xlpm.grid), _xlpm.w, COLUMNS(_xlpm.grid), _xlpm.IsScalar?, AND(_xlpm.h = 1, _xlpm.w = 1), _xlpm.Is1D?, OR(_xlpm.h = 1, _xlpm.w = 1), _xlpm.InvalidLayer?, OR(ISTEXT(_xlpm.layer), _xlpm.layer &lt;= 0), _xlpm.MaxLayer, INT((MIN(_xlpm.h, _xlpm.w) + 1) / 2), IF(_xlpm.IsScalar?, _xlpm.grid, IF(_xlpm.Is1D?, "#1D-ARRAY!", IF(_xlpm.InvalidLayer?, "#LAYER!", IF(_xlpm.layer &gt; _xlpm.MaxLayer, "#MAX-LAYER: " &amp; _xlpm.MaxLayer, _xlfn.LET(_xlpm.fill_value, IF(_xlfn.ISOMITTED(_xlpm.fill_value), 0, _xlpm.fill_value), _xlpm.i, MGridλ(_xlpm.grid), _xlpm.j, MGridλ(_xlpm.grid, 1), _xlpm.top, ((_xlpm.i = _xlpm.layer) + (_xlpm.i = 1 + _xlpm.h - _xlpm.layer)) * ((_xlpm.j &gt; _xlpm.layer - 1) * (_xlpm.j &lt;= 1 + _xlpm.w - _xlpm.layer)), _xlpm.side, ((_xlpm.j = _xlpm.layer) + (_xlpm.j = 1 + _xlpm.w - _xlpm.layer)) * ((_xlpm.i &gt; _xlpm.layer - 1) * (_xlpm.i &lt;= 1 + _xlpm.h - _xlpm.layer)), _xlpm.mask, SIGN(_xlpm.top + _xlpm.side), _xlpm.final, IF(_xlpm.mask, _xlpm.grid, _xlpm.fill_value), _xlpm.final)))))))</definedName>
    <definedName name="Rotate2Dλ">_xlfn.LAMBDA(_xlpm.grid,_xlop.rotations,_xlop.reverse, _xlfn.LET(_xlpm.h, ROWS(_xlpm.grid), _xlpm.w, COLUMNS(_xlpm.grid), _xlpm.rotations, IF(_xlfn.ISOMITTED(_xlpm.rotations), 1, _xlpm.rotations), _xlpm.IsScalar?, AND(_xlpm.h = 1, _xlpm.w = 1), _xlpm.IsID?, _xlfn.XOR(_xlpm.h = 1, _xlpm.w = 1), _xlpm.InvalidRot?, OR(ISTEXT(_xlpm.rotations), _xlpm.rotations &lt;= 0), IF(_xlpm.IsScalar?, _xlpm.grid, IF(_xlpm.IsID?, _xlpm.grid, IF(_xlpm.InvalidRot?, "#ROTATION!", _xlfn.LET(_xlpm.passes, MOD(_xlpm.rotations, (_xlpm.h * 2 + _xlpm.w * 2) - 4), _xlpm.IsClockwise?, OR(_xlfn.ISOMITTED(_xlpm.reverse), _xlpm.reverse = FALSE), _xlpm.Rotateλ, IF(_xlpm.IsClockwise?, RingRotateλ, RingRotateRevλ), _xlpm.layers, (MIN(_xlpm.h, _xlpm.w) + 1) / 2, _xlpm.k, _xlfn.SEQUENCE(_xlpm.layers), _xlpm.Iterateλ, _xlfn.LAMBDA(_xlpm.acc,_xlpm.each_layer, _xlpm.Rotateλ(_xlpm.acc, _xlpm.each_layer, _xlpm.passes)), _xlpm.rotated, _xlfn.REDUCE(_xlpm.grid, _xlpm.k, _xlpm.Iterateλ), _xlpm.rotated))))))</definedName>
    <definedName name="Spiralλ">_xlfn.LAMBDA(_xlpm.rings,_xlop.start_at, _xlfn.LET(_xlpm.start_at, IF(_xlfn.ISOMITTED(_xlpm.start_at), 1, _xlpm.start_at), _xlpm.i, _xlfn.LAMBDA(_xlfn.SEQUENCE(_xlpm.rings * 2 + 1, , _xlpm.rings, -1)), _xlpm.j, _xlfn.LAMBDA(_xlfn.SEQUENCE(, _xlpm.rings * 2 + 1, -_xlpm.rings, 1)), _xlpm.x, _xlfn.LAMBDA(_xlpm.j() * _xlfn.SEQUENCE(_xlpm.rings * 2 + 1, , 1, 0)), _xlpm.y, _xlfn.LAMBDA(_xlpm.i() * _xlfn.SEQUENCE(, _xlpm.rings * 2 + 1, 1, 0)), _xlpm.a_, _xlfn.LAMBDA((ABS(_xlpm.x()) &gt; ABS(_xlpm.y())) * (_xlpm.x() &gt; 0)), _xlpm.b_, _xlfn.LAMBDA((ABS(_xlpm.x()) &gt; ABS(_xlpm.y())) * (_xlpm.x() &lt;= 0)), _xlpm.c_, _xlfn.LAMBDA((ABS(_xlpm.x()) &lt;= ABS(_xlpm.y())) * (_xlpm.y() &gt; 0)), _xlpm.d_, _xlfn.LAMBDA((ABS(_xlpm.x()) &lt;= ABS(_xlpm.y())) * (_xlpm.y() &lt;= 0)), _xlpm.a, _xlfn.LAMBDA(4 * _xlpm.x() ^ 2 - 3 * _xlpm.x() + _xlpm.y()), _xlpm.b, _xlfn.LAMBDA(4 * _xlpm.x() ^ 2 - _xlpm.x() - _xlpm.y()), _xlpm.c, _xlfn.LAMBDA(4 * _xlpm.y() ^ 2 - _xlpm.y() - _xlpm.x()), _xlpm.d, _xlfn.LAMBDA(4 * _xlpm.y() ^ 2 - 3 * _xlpm.y() + _xlpm.x()), _xlpm.delivery, _xlpm.start_at + IF(_xlpm.a_(), _xlpm.a(), IF(_xlpm.b_(), _xlpm.b(), IF(_xlpm.c_(), _xlpm.c(), _xlpm.d()))), _xlpm.delivery))</definedName>
    <definedName name="Squeezeλ">_xlfn.LAMBDA(_xlpm.array,_xlop.custom_criteria,_xlop.suppress_zeros, _xlfn.LET(_xlpm.HideZero?, NOT(_xlfn.ISOMITTED(_xlpm.suppress_zeros)), _xlpm.i, _xlfn.SEQUENCE(ROWS(_xlpm.array)), _xlpm.j, _xlfn.SEQUENCE(, COLUMNS(_xlpm.array)), _xlpm.Keepλ, _xlfn.LAMBDA(_xlpm.v, NOT(AND(_xlfn.TOCOL(_xlpm.v, 2) = 0))), _xlpm.Customλ, _xlfn.LAMBDA(_xlpm.v, NOT(AND(_xlfn.TOCOL(_xlpm.v, 2) = _xlpm.custom_criteria))), _xlpm.fn, IF(_xlfn.ISOMITTED(_xlpm.custom_criteria), _xlpm.Keepλ, _xlpm.Customλ), _xlpm.a, _xlfn.TOCOL(IF(_xlfn.BYROW(_xlpm.array, _xlpm.fn), _xlpm.i, NA()), 2), _xlpm.b, _xlfn.TOROW(IF(_xlfn.BYCOL(_xlpm.array, _xlpm.fn), _xlpm.j, NA()), 2), _xlpm.IsEmpty?, AND(ISERROR(_xlpm.a), ISERROR(_xlpm.b)), _xlpm.x, ROWS(_xlpm.a), _xlpm.y, COLUMNS(_xlpm.b), _xlpm.r, _xlpm.a * _xlfn.SEQUENCE(, _xlpm.y, 1, 0), _xlpm.c, _xlpm.b * _xlfn.SEQUENCE(_xlpm.x, , 1, 0), _xlpm.result, INDEX(_xlpm.array, _xlpm.r, _xlpm.c), _xlpm.result_b, IF(_xlpm.result = 0, "", _xlpm.result), _xlpm.deliver, IF(_xlpm.IsEmpty?, "#EMPTY-ARRAY!", IF(_xlpm.HideZero?, _xlpm.result_b, _xlpm.result)), _xlpm.deliver))</definedName>
    <definedName name="Traverseλ">_xlfn.LAMBDA(_xlpm.array,_xlpm.new_axis, IF(OR(ROWS(_xlpm.array) = 1, COLUMNS(_xlpm.array) = 1), "#2D-ARRAY!", IF(AND(ISNUMBER(_xlpm.new_axis), OR(_xlpm.new_axis &lt;= 0, _xlpm.new_axis &gt; 3)), "#AXIS!", _xlfn.LET(_xlpm.i, ROWS(_xlpm.array), _xlpm.j, COLUMNS(_xlpm.array), _xlpm.x_NE, _xlfn.LAMBDA(_xlfn.SEQUENCE(_xlpm.j, , 1, 0) * _xlfn.SEQUENCE(, _xlpm.i)), _xlpm.y_NE, _xlfn.LAMBDA(_xlfn.SEQUENCE(_xlpm.j, , _xlpm.j, -1) * _xlfn.SEQUENCE(, _xlpm.i, 1, 0)), _xlpm.x_SE, _xlfn.LAMBDA(_xlfn.SEQUENCE(_xlpm.i, , _xlpm.i, -1) * _xlfn.SEQUENCE(, _xlpm.j, 1, 0)), _xlpm.y_SE, _xlfn.LAMBDA(_xlfn.SEQUENCE(_xlpm.i, , _xlpm.j, 0) + _xlfn.SEQUENCE(, _xlpm.j, 0, -1)), _xlpm.x_SW, _xlfn.LAMBDA(_xlfn.SEQUENCE(_xlpm.j, , _xlpm.i, 0) + _xlfn.SEQUENCE(, _xlpm.i, 0, -1)), _xlpm.y_SW, _xlfn.LAMBDA(_xlfn.SEQUENCE(_xlpm.j, , 1) * _xlfn.SEQUENCE(, _xlpm.i, 1, 0)), _xlpm.mode, IF(ISNUMBER(_xlpm.new_axis), _xlpm.new_axis, _xlfn.SWITCH(_xlpm.new_axis, "NE", 1, "SE", 2, "SW", 3, 1)), _xlpm.x, CHOOSE(_xlpm.mode, _xlpm.x_NE, _xlpm.x_SE, _xlpm.x_SW), _xlpm.y, CHOOSE(_xlpm.mode, _xlpm.y_NE, _xlpm.y_SE, _xlpm.y_SW), _xlpm.result, INDEX(_xlpm.array, _xlpm.x(), _xlpm.y()), _xlpm.result))))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20" i="3" l="1" a="1"/>
  <c r="L20" i="3" s="1"/>
  <c r="L12" i="3" a="1"/>
  <c r="L12" i="3" s="1"/>
  <c r="E20" i="3" a="1"/>
  <c r="E20" i="3" s="1"/>
  <c r="E12" i="3" a="1"/>
  <c r="E12" i="3" s="1"/>
  <c r="F3" i="1" a="1"/>
  <c r="F3" i="1" l="1"/>
  <c r="F20" i="1" s="1" a="1"/>
  <c r="F20" i="1" s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<sst xmlns="http://schemas.openxmlformats.org/spreadsheetml/2006/main" count="44" uniqueCount="41">
  <si>
    <t>=Spiralλ(7)</t>
  </si>
  <si>
    <t>Rotations</t>
  </si>
  <si>
    <t>Rotate2Dλ</t>
  </si>
  <si>
    <t>Reverse?</t>
  </si>
  <si>
    <t>Ulam Spiral</t>
  </si>
  <si>
    <t>A</t>
  </si>
  <si>
    <t>B</t>
  </si>
  <si>
    <t>C</t>
  </si>
  <si>
    <t>D</t>
  </si>
  <si>
    <t>E</t>
  </si>
  <si>
    <t>F</t>
  </si>
  <si>
    <t>G</t>
  </si>
  <si>
    <t>H</t>
  </si>
  <si>
    <t>I</t>
  </si>
  <si>
    <t>J</t>
  </si>
  <si>
    <t>K</t>
  </si>
  <si>
    <t>L</t>
  </si>
  <si>
    <t>M</t>
  </si>
  <si>
    <t>N</t>
  </si>
  <si>
    <t>O</t>
  </si>
  <si>
    <t>P</t>
  </si>
  <si>
    <t>Q</t>
  </si>
  <si>
    <t>R</t>
  </si>
  <si>
    <t>S</t>
  </si>
  <si>
    <t>T</t>
  </si>
  <si>
    <t>U</t>
  </si>
  <si>
    <t>V</t>
  </si>
  <si>
    <t>W</t>
  </si>
  <si>
    <t>X</t>
  </si>
  <si>
    <t>Y</t>
  </si>
  <si>
    <t>Clockwise rotation by ring</t>
  </si>
  <si>
    <t>Reverse rotation by ring</t>
  </si>
  <si>
    <t>a</t>
  </si>
  <si>
    <t>b</t>
  </si>
  <si>
    <t>c</t>
  </si>
  <si>
    <t>Clock has 2 rings: the hours and a, b, c (Not rotated)</t>
  </si>
  <si>
    <t>Letters is comprised of 3 rings: Red, Blue, Yellow (not rotated)</t>
  </si>
  <si>
    <t>=Rotate2Dλ(Letters,1)</t>
  </si>
  <si>
    <t>=Rotate2Dλ(Clock,1)</t>
  </si>
  <si>
    <t>=Rotate2Dλ(Letters,1,1)</t>
  </si>
  <si>
    <t>=Rotate2Dλ(Clock,1,1)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</si>
</sst>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5" x14ac:knownFonts="1">
    <font>
      <sz val="11"/>
      <color theme="1"/>
      <name val="segoe ui"/>
      <family val="2"/>
    </font>
    <font>
      <i/>
      <sz val="11"/>
      <color theme="1"/>
      <name val="segoe ui"/>
      <family val="2"/>
    </font>
    <font>
      <sz val="11"/>
      <color theme="1"/>
      <name val="Verdana"/>
      <family val="2"/>
    </font>
    <font>
      <b/>
      <sz val="12"/>
      <color theme="1"/>
      <name val="Verdana"/>
      <family val="2"/>
    </font>
    <font>
      <sz val="12"/>
      <color theme="1"/>
      <name val="Verdana"/>
      <family val="2"/>
    </font>
    <font>
      <i/>
      <sz val="11"/>
      <color theme="3" tint="0.499984740745262"/>
      <name val="segoe ui"/>
      <family val="2"/>
    </font>
    <font>
      <i/>
      <sz val="11"/>
      <color theme="3" tint="0.249977111117893"/>
      <name val="segoe ui"/>
      <family val="2"/>
    </font>
    <font>
      <sz val="11"/>
      <color theme="3" tint="0.249977111117893"/>
      <name val="segoe ui"/>
      <family val="2"/>
    </font>
    <font>
      <b/>
      <i/>
      <sz val="11"/>
      <color theme="6" tint="-0.249977111117893"/>
      <name val="segoe ui"/>
      <family val="2"/>
    </font>
    <font>
      <b/>
      <sz val="11"/>
      <name val="Cascadia Mono"/>
      <family val="3"/>
    </font>
    <font>
      <sz val="11"/>
      <name val="Cascadia Mono"/>
      <family val="3"/>
    </font>
    <font>
      <sz val="11"/>
      <color theme="1"/>
      <name val="Cascadia Mono"/>
      <family val="3"/>
    </font>
    <font>
      <b/>
      <sz val="12"/>
      <color theme="1"/>
      <name val="Cascadia Mono"/>
      <family val="3"/>
    </font>
    <font>
      <sz val="12"/>
      <color theme="0"/>
      <name val="Cascadia Mono"/>
      <family val="3"/>
    </font>
    <font>
      <sz val="12"/>
      <color theme="1"/>
      <name val="Cascadia Mono"/>
      <family val="3"/>
    </font>
  </fonts>
  <fills count="7">
    <fill>
      <patternFill patternType="none"/>
    </fill>
    <fill>
      <patternFill patternType="gray125"/>
    </fill>
    <fill>
      <patternFill patternType="solid">
        <fgColor theme="3" tint="0.499984740745262"/>
        <bgColor indexed="64"/>
      </patternFill>
    </fill>
    <fill>
      <patternFill patternType="solid">
        <fgColor rgb="FFFF5757"/>
        <bgColor indexed="64"/>
      </patternFill>
    </fill>
    <fill>
      <patternFill patternType="solid">
        <fgColor rgb="FFFFD96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1"/>
        <bgColor indexed="64"/>
      </patternFill>
    </fill>
  </fills>
  <borders count="23">
    <border>
      <left/>
      <right/>
      <top/>
      <bottom/>
      <diagonal/>
    </border>
    <border>
      <left style="mediumDashed">
        <color auto="1"/>
      </left>
      <right style="mediumDashed">
        <color auto="1"/>
      </right>
      <top style="mediumDashed">
        <color auto="1"/>
      </top>
      <bottom style="mediumDashed">
        <color auto="1"/>
      </bottom>
      <diagonal/>
    </border>
    <border>
      <left style="mediumDashed">
        <color auto="1"/>
      </left>
      <right/>
      <top style="mediumDashed">
        <color auto="1"/>
      </top>
      <bottom/>
      <diagonal/>
    </border>
    <border>
      <left/>
      <right/>
      <top style="mediumDashed">
        <color auto="1"/>
      </top>
      <bottom/>
      <diagonal/>
    </border>
    <border>
      <left/>
      <right style="mediumDashed">
        <color auto="1"/>
      </right>
      <top style="mediumDashed">
        <color auto="1"/>
      </top>
      <bottom/>
      <diagonal/>
    </border>
    <border>
      <left style="mediumDashed">
        <color auto="1"/>
      </left>
      <right/>
      <top/>
      <bottom/>
      <diagonal/>
    </border>
    <border>
      <left/>
      <right style="mediumDashed">
        <color auto="1"/>
      </right>
      <top/>
      <bottom/>
      <diagonal/>
    </border>
    <border>
      <left style="mediumDashed">
        <color auto="1"/>
      </left>
      <right/>
      <top/>
      <bottom style="mediumDashed">
        <color auto="1"/>
      </bottom>
      <diagonal/>
    </border>
    <border>
      <left/>
      <right/>
      <top/>
      <bottom style="mediumDashed">
        <color auto="1"/>
      </bottom>
      <diagonal/>
    </border>
    <border>
      <left/>
      <right style="mediumDashed">
        <color auto="1"/>
      </right>
      <top/>
      <bottom style="mediumDashed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56">
    <xf numFmtId="0" fontId="0" fillId="0" borderId="0" xfId="0"/>
    <xf numFmtId="0" fontId="1" fillId="0" borderId="0" xfId="0" applyFont="1"/>
    <xf numFmtId="0" fontId="2" fillId="0" borderId="0" xfId="0" applyFont="1"/>
    <xf numFmtId="0" fontId="4" fillId="0" borderId="0" xfId="0" applyFont="1"/>
    <xf numFmtId="0" fontId="3" fillId="5" borderId="0" xfId="0" applyFont="1" applyFill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5" fillId="0" borderId="0" xfId="0" applyFont="1"/>
    <xf numFmtId="0" fontId="6" fillId="0" borderId="0" xfId="0" applyFont="1"/>
    <xf numFmtId="0" fontId="7" fillId="0" borderId="0" xfId="0" quotePrefix="1" applyFont="1"/>
    <xf numFmtId="0" fontId="8" fillId="0" borderId="0" xfId="0" applyFont="1"/>
    <xf numFmtId="0" fontId="9" fillId="0" borderId="0" xfId="0" quotePrefix="1" applyFont="1" applyAlignment="1">
      <alignment horizontal="left"/>
    </xf>
    <xf numFmtId="0" fontId="10" fillId="0" borderId="0" xfId="0" applyFont="1" applyAlignment="1">
      <alignment horizontal="center"/>
    </xf>
    <xf numFmtId="0" fontId="10" fillId="0" borderId="0" xfId="0" applyFont="1"/>
    <xf numFmtId="0" fontId="10" fillId="0" borderId="2" xfId="0" quotePrefix="1" applyFont="1" applyBorder="1" applyAlignment="1">
      <alignment horizontal="center"/>
    </xf>
    <xf numFmtId="0" fontId="10" fillId="0" borderId="3" xfId="0" applyFont="1" applyBorder="1" applyAlignment="1">
      <alignment horizontal="center"/>
    </xf>
    <xf numFmtId="0" fontId="10" fillId="0" borderId="4" xfId="0" applyFont="1" applyBorder="1" applyAlignment="1">
      <alignment horizontal="center"/>
    </xf>
    <xf numFmtId="0" fontId="10" fillId="0" borderId="5" xfId="0" applyFont="1" applyBorder="1" applyAlignment="1">
      <alignment horizontal="center"/>
    </xf>
    <xf numFmtId="0" fontId="10" fillId="0" borderId="2" xfId="0" applyFont="1" applyBorder="1" applyAlignment="1">
      <alignment horizontal="center"/>
    </xf>
    <xf numFmtId="0" fontId="10" fillId="0" borderId="6" xfId="0" applyFont="1" applyBorder="1" applyAlignment="1">
      <alignment horizontal="center"/>
    </xf>
    <xf numFmtId="0" fontId="10" fillId="0" borderId="1" xfId="0" applyFont="1" applyBorder="1" applyAlignment="1">
      <alignment horizontal="center"/>
    </xf>
    <xf numFmtId="0" fontId="10" fillId="0" borderId="7" xfId="0" applyFont="1" applyBorder="1" applyAlignment="1">
      <alignment horizontal="center"/>
    </xf>
    <xf numFmtId="0" fontId="10" fillId="0" borderId="8" xfId="0" applyFont="1" applyBorder="1" applyAlignment="1">
      <alignment horizontal="center"/>
    </xf>
    <xf numFmtId="0" fontId="10" fillId="0" borderId="9" xfId="0" applyFont="1" applyBorder="1" applyAlignment="1">
      <alignment horizontal="center"/>
    </xf>
    <xf numFmtId="0" fontId="9" fillId="0" borderId="10" xfId="0" applyFont="1" applyBorder="1"/>
    <xf numFmtId="0" fontId="10" fillId="0" borderId="10" xfId="0" applyFont="1" applyBorder="1" applyAlignment="1">
      <alignment horizontal="center"/>
    </xf>
    <xf numFmtId="0" fontId="10" fillId="0" borderId="10" xfId="0" applyFont="1" applyBorder="1"/>
    <xf numFmtId="0" fontId="11" fillId="0" borderId="0" xfId="0" applyFont="1"/>
    <xf numFmtId="0" fontId="12" fillId="3" borderId="12" xfId="0" applyFont="1" applyFill="1" applyBorder="1" applyAlignment="1">
      <alignment horizontal="center" vertical="center"/>
    </xf>
    <xf numFmtId="0" fontId="12" fillId="3" borderId="13" xfId="0" applyFont="1" applyFill="1" applyBorder="1" applyAlignment="1">
      <alignment horizontal="center" vertical="center"/>
    </xf>
    <xf numFmtId="0" fontId="12" fillId="3" borderId="14" xfId="0" applyFont="1" applyFill="1" applyBorder="1" applyAlignment="1">
      <alignment horizontal="center" vertical="center"/>
    </xf>
    <xf numFmtId="0" fontId="12" fillId="5" borderId="12" xfId="0" applyFont="1" applyFill="1" applyBorder="1" applyAlignment="1">
      <alignment horizontal="center" vertical="center"/>
    </xf>
    <xf numFmtId="0" fontId="12" fillId="5" borderId="13" xfId="0" applyFont="1" applyFill="1" applyBorder="1" applyAlignment="1">
      <alignment horizontal="center" vertical="center"/>
    </xf>
    <xf numFmtId="0" fontId="12" fillId="5" borderId="14" xfId="0" applyFont="1" applyFill="1" applyBorder="1" applyAlignment="1">
      <alignment horizontal="center" vertical="center"/>
    </xf>
    <xf numFmtId="0" fontId="12" fillId="3" borderId="15" xfId="0" applyFont="1" applyFill="1" applyBorder="1" applyAlignment="1">
      <alignment horizontal="center" vertical="center"/>
    </xf>
    <xf numFmtId="0" fontId="12" fillId="2" borderId="12" xfId="0" applyFont="1" applyFill="1" applyBorder="1" applyAlignment="1">
      <alignment horizontal="center" vertical="center"/>
    </xf>
    <xf numFmtId="0" fontId="12" fillId="2" borderId="13" xfId="0" applyFont="1" applyFill="1" applyBorder="1" applyAlignment="1">
      <alignment horizontal="center" vertical="center"/>
    </xf>
    <xf numFmtId="0" fontId="12" fillId="2" borderId="14" xfId="0" applyFont="1" applyFill="1" applyBorder="1" applyAlignment="1">
      <alignment horizontal="center" vertical="center"/>
    </xf>
    <xf numFmtId="0" fontId="12" fillId="3" borderId="16" xfId="0" applyFont="1" applyFill="1" applyBorder="1" applyAlignment="1">
      <alignment horizontal="center" vertical="center"/>
    </xf>
    <xf numFmtId="0" fontId="12" fillId="5" borderId="15" xfId="0" applyFont="1" applyFill="1" applyBorder="1" applyAlignment="1">
      <alignment horizontal="center" vertical="center"/>
    </xf>
    <xf numFmtId="0" fontId="13" fillId="6" borderId="20" xfId="0" applyFont="1" applyFill="1" applyBorder="1" applyAlignment="1">
      <alignment horizontal="center" vertical="center"/>
    </xf>
    <xf numFmtId="0" fontId="12" fillId="5" borderId="16" xfId="0" applyFont="1" applyFill="1" applyBorder="1" applyAlignment="1">
      <alignment horizontal="center" vertical="center"/>
    </xf>
    <xf numFmtId="0" fontId="12" fillId="2" borderId="15" xfId="0" applyFont="1" applyFill="1" applyBorder="1" applyAlignment="1">
      <alignment horizontal="center" vertical="center"/>
    </xf>
    <xf numFmtId="0" fontId="12" fillId="4" borderId="11" xfId="0" applyFont="1" applyFill="1" applyBorder="1" applyAlignment="1">
      <alignment horizontal="center" vertical="center"/>
    </xf>
    <xf numFmtId="0" fontId="12" fillId="2" borderId="16" xfId="0" applyFont="1" applyFill="1" applyBorder="1" applyAlignment="1">
      <alignment horizontal="center" vertical="center"/>
    </xf>
    <xf numFmtId="0" fontId="13" fillId="6" borderId="21" xfId="0" applyFont="1" applyFill="1" applyBorder="1" applyAlignment="1">
      <alignment horizontal="center" vertical="center"/>
    </xf>
    <xf numFmtId="0" fontId="12" fillId="2" borderId="17" xfId="0" applyFont="1" applyFill="1" applyBorder="1" applyAlignment="1">
      <alignment horizontal="center" vertical="center"/>
    </xf>
    <xf numFmtId="0" fontId="12" fillId="2" borderId="18" xfId="0" applyFont="1" applyFill="1" applyBorder="1" applyAlignment="1">
      <alignment horizontal="center" vertical="center"/>
    </xf>
    <xf numFmtId="0" fontId="12" fillId="2" borderId="19" xfId="0" applyFont="1" applyFill="1" applyBorder="1" applyAlignment="1">
      <alignment horizontal="center" vertical="center"/>
    </xf>
    <xf numFmtId="0" fontId="13" fillId="6" borderId="22" xfId="0" applyFont="1" applyFill="1" applyBorder="1" applyAlignment="1">
      <alignment horizontal="center" vertical="center"/>
    </xf>
    <xf numFmtId="0" fontId="12" fillId="3" borderId="17" xfId="0" applyFont="1" applyFill="1" applyBorder="1" applyAlignment="1">
      <alignment horizontal="center" vertical="center"/>
    </xf>
    <xf numFmtId="0" fontId="12" fillId="3" borderId="18" xfId="0" applyFont="1" applyFill="1" applyBorder="1" applyAlignment="1">
      <alignment horizontal="center" vertical="center"/>
    </xf>
    <xf numFmtId="0" fontId="12" fillId="3" borderId="19" xfId="0" applyFont="1" applyFill="1" applyBorder="1" applyAlignment="1">
      <alignment horizontal="center" vertical="center"/>
    </xf>
    <xf numFmtId="0" fontId="12" fillId="5" borderId="17" xfId="0" applyFont="1" applyFill="1" applyBorder="1" applyAlignment="1">
      <alignment horizontal="center" vertical="center"/>
    </xf>
    <xf numFmtId="0" fontId="12" fillId="5" borderId="18" xfId="0" applyFont="1" applyFill="1" applyBorder="1" applyAlignment="1">
      <alignment horizontal="center" vertical="center"/>
    </xf>
    <xf numFmtId="0" fontId="12" fillId="5" borderId="19" xfId="0" applyFont="1" applyFill="1" applyBorder="1" applyAlignment="1">
      <alignment horizontal="center" vertical="center"/>
    </xf>
    <xf numFmtId="0" fontId="14" fillId="0" borderId="0" xfId="0" applyFont="1"/>
  </cellXfs>
  <cellStyles count="1">
    <cellStyle name="Normal" xfId="0" builtinId="0"/>
  </cellStyles>
  <dxfs count="0"/>
  <tableStyles count="1" defaultTableStyle="TableStyleMedium2" defaultPivotStyle="PivotStyleLight16">
    <tableStyle name="Invisible" pivot="0" table="0" count="0" xr9:uid="{07F3B889-6FAA-4DA5-8429-A4A9AFC4AE24}"/>
  </tableStyles>
  <colors>
    <mruColors>
      <color rgb="FFFFD961"/>
      <color rgb="FF249835"/>
      <color rgb="FFFF5757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trlProps/ctrlProp1.xml><?xml version="1.0" encoding="utf-8"?>
<formControlPr xmlns="http://schemas.microsoft.com/office/spreadsheetml/2009/9/main" objectType="Spin" dx="31" fmlaLink="$C$20" max="30000" min="1" page="10"/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absolute">
        <xdr:from>
          <xdr:col>0</xdr:col>
          <xdr:colOff>622300</xdr:colOff>
          <xdr:row>18</xdr:row>
          <xdr:rowOff>69850</xdr:rowOff>
        </xdr:from>
        <xdr:to>
          <xdr:col>1</xdr:col>
          <xdr:colOff>641350</xdr:colOff>
          <xdr:row>20</xdr:row>
          <xdr:rowOff>107950</xdr:rowOff>
        </xdr:to>
        <xdr:sp macro="" textlink="">
          <xdr:nvSpPr>
            <xdr:cNvPr id="1025" name="Spinner 1" hidden="1">
              <a:extLst>
                <a:ext uri="{63B3BB69-23CF-44E3-9099-C40C66FF867C}">
                  <a14:compatExt spid="_x0000_s1025"/>
                </a:ext>
                <a:ext uri="{FF2B5EF4-FFF2-40B4-BE49-F238E27FC236}">
                  <a16:creationId xmlns:a16="http://schemas.microsoft.com/office/drawing/2014/main" id="{00000000-0008-0000-0100-000001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976" row="8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298D0BD9-7FE7-44BD-93E6-5E1D60452B40}">
  <we:reference id="WA200003696" version="1.3.0.0" store="Omex" storeType="OMEX"/>
  <we:alternateReferences>
    <we:reference id="WA200003696" version="1.3.0.0" store="WA200003696" storeType="OMEX"/>
  </we:alternateReferences>
  <we:properties>
    <we:property name="projectV0_1-56c6e055-265e-4713-816e-a646dbb708de" value="{&quot;kind&quot;:&quot;AFEJSONBlobNode&quot;,&quot;id&quot;:&quot;{E0DD5E98-6E7A-4F49-997C-F9226A2991B3}&quot;}"/>
  </we:properties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  <a:ext xmlns:a="http://schemas.openxmlformats.org/drawingml/2006/main" uri="{7C84B067-C214-45C3-A712-C9D94CD141B2}">
      <we:customFunctionIdList>
        <we:customFunctionIds>_xldudf_LABS_GENERATIVEAI</we:customFunctionIds>
      </we:customFunctionIdList>
    </a:ext>
  </we:extLst>
</we:webextension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trlProp" Target="../ctrlProps/ctrlProp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13A91A-7D99-4DBA-8900-6C17016A217E}">
  <sheetPr codeName="Sheet1">
    <tabColor theme="6" tint="0.79998168889431442"/>
  </sheetPr>
  <dimension ref="C3:N25"/>
  <sheetViews>
    <sheetView tabSelected="1" workbookViewId="0">
      <selection activeCell="Q8" sqref="Q8"/>
    </sheetView>
  </sheetViews>
  <sheetFormatPr defaultRowHeight="16.5" x14ac:dyDescent="0.45"/>
  <cols>
    <col min="2" max="2" width="4.33203125" customWidth="1"/>
    <col min="3" max="3" width="10.33203125" customWidth="1"/>
    <col min="5" max="10" width="5.58203125" customWidth="1"/>
    <col min="11" max="11" width="8.5" customWidth="1"/>
    <col min="12" max="14" width="5.58203125" customWidth="1"/>
  </cols>
  <sheetData>
    <row r="3" spans="3:14" s="1" customFormat="1" ht="17" thickBot="1" x14ac:dyDescent="0.5">
      <c r="D3" s="7" t="s">
        <v>36</v>
      </c>
      <c r="E3" s="6"/>
      <c r="F3" s="6"/>
      <c r="G3" s="6"/>
      <c r="H3" s="6"/>
      <c r="I3" s="6"/>
      <c r="J3" s="6"/>
      <c r="K3" s="6"/>
      <c r="L3" s="7" t="s">
        <v>35</v>
      </c>
    </row>
    <row r="4" spans="3:14" s="2" customFormat="1" ht="28" customHeight="1" thickBot="1" x14ac:dyDescent="0.45">
      <c r="E4" s="27" t="s">
        <v>5</v>
      </c>
      <c r="F4" s="28" t="s">
        <v>6</v>
      </c>
      <c r="G4" s="28" t="s">
        <v>7</v>
      </c>
      <c r="H4" s="28" t="s">
        <v>8</v>
      </c>
      <c r="I4" s="29" t="s">
        <v>9</v>
      </c>
      <c r="J4" s="26"/>
      <c r="K4" s="26"/>
      <c r="L4" s="30">
        <v>11</v>
      </c>
      <c r="M4" s="31">
        <v>12</v>
      </c>
      <c r="N4" s="32">
        <v>1</v>
      </c>
    </row>
    <row r="5" spans="3:14" s="2" customFormat="1" ht="28" customHeight="1" thickBot="1" x14ac:dyDescent="0.45">
      <c r="E5" s="33" t="s">
        <v>10</v>
      </c>
      <c r="F5" s="34" t="s">
        <v>11</v>
      </c>
      <c r="G5" s="35" t="s">
        <v>12</v>
      </c>
      <c r="H5" s="36" t="s">
        <v>13</v>
      </c>
      <c r="I5" s="37" t="s">
        <v>14</v>
      </c>
      <c r="J5" s="26"/>
      <c r="K5" s="26"/>
      <c r="L5" s="38">
        <v>10</v>
      </c>
      <c r="M5" s="39" t="s">
        <v>32</v>
      </c>
      <c r="N5" s="40">
        <v>2</v>
      </c>
    </row>
    <row r="6" spans="3:14" s="2" customFormat="1" ht="28" customHeight="1" thickBot="1" x14ac:dyDescent="0.45">
      <c r="E6" s="33" t="s">
        <v>15</v>
      </c>
      <c r="F6" s="41" t="s">
        <v>16</v>
      </c>
      <c r="G6" s="42" t="s">
        <v>17</v>
      </c>
      <c r="H6" s="43" t="s">
        <v>18</v>
      </c>
      <c r="I6" s="37" t="s">
        <v>19</v>
      </c>
      <c r="J6" s="26"/>
      <c r="K6" s="26"/>
      <c r="L6" s="38">
        <v>9</v>
      </c>
      <c r="M6" s="44" t="s">
        <v>33</v>
      </c>
      <c r="N6" s="40">
        <v>3</v>
      </c>
    </row>
    <row r="7" spans="3:14" s="2" customFormat="1" ht="28" customHeight="1" thickBot="1" x14ac:dyDescent="0.45">
      <c r="E7" s="33" t="s">
        <v>20</v>
      </c>
      <c r="F7" s="45" t="s">
        <v>21</v>
      </c>
      <c r="G7" s="46" t="s">
        <v>22</v>
      </c>
      <c r="H7" s="47" t="s">
        <v>23</v>
      </c>
      <c r="I7" s="37" t="s">
        <v>24</v>
      </c>
      <c r="J7" s="26"/>
      <c r="K7" s="26"/>
      <c r="L7" s="38">
        <v>8</v>
      </c>
      <c r="M7" s="48" t="s">
        <v>34</v>
      </c>
      <c r="N7" s="40">
        <v>4</v>
      </c>
    </row>
    <row r="8" spans="3:14" s="2" customFormat="1" ht="28" customHeight="1" thickBot="1" x14ac:dyDescent="0.45">
      <c r="E8" s="49" t="s">
        <v>25</v>
      </c>
      <c r="F8" s="50" t="s">
        <v>26</v>
      </c>
      <c r="G8" s="50" t="s">
        <v>27</v>
      </c>
      <c r="H8" s="50" t="s">
        <v>28</v>
      </c>
      <c r="I8" s="51" t="s">
        <v>29</v>
      </c>
      <c r="J8" s="26"/>
      <c r="K8" s="26"/>
      <c r="L8" s="52">
        <v>7</v>
      </c>
      <c r="M8" s="53">
        <v>6</v>
      </c>
      <c r="N8" s="54">
        <v>5</v>
      </c>
    </row>
    <row r="10" spans="3:14" s="1" customFormat="1" ht="26.15" customHeight="1" x14ac:dyDescent="0.45">
      <c r="E10" s="7" t="s">
        <v>30</v>
      </c>
      <c r="L10" s="7" t="s">
        <v>30</v>
      </c>
    </row>
    <row r="11" spans="3:14" ht="17" thickBot="1" x14ac:dyDescent="0.5">
      <c r="C11" s="9" t="s">
        <v>2</v>
      </c>
      <c r="E11" s="7" t="s">
        <v>37</v>
      </c>
      <c r="L11" s="8" t="s">
        <v>38</v>
      </c>
    </row>
    <row r="12" spans="3:14" s="2" customFormat="1" ht="28" customHeight="1" thickBot="1" x14ac:dyDescent="0.5">
      <c r="E12" s="27" t="str" cm="1">
        <f t="array" ref="E12:I16">Rotate2Dλ(Letters,1)</f>
        <v>F</v>
      </c>
      <c r="F12" s="28" t="str">
        <v>A</v>
      </c>
      <c r="G12" s="28" t="str">
        <v>B</v>
      </c>
      <c r="H12" s="28" t="str">
        <v>C</v>
      </c>
      <c r="I12" s="29" t="str">
        <v>D</v>
      </c>
      <c r="J12" s="55"/>
      <c r="K12" s="26"/>
      <c r="L12" s="30" cm="1">
        <f t="array" ref="L12:N16">Rotate2Dλ(Clock,1)</f>
        <v>10</v>
      </c>
      <c r="M12" s="31">
        <v>11</v>
      </c>
      <c r="N12" s="32">
        <v>12</v>
      </c>
    </row>
    <row r="13" spans="3:14" s="2" customFormat="1" ht="28" customHeight="1" thickBot="1" x14ac:dyDescent="0.5">
      <c r="E13" s="33" t="str">
        <v>K</v>
      </c>
      <c r="F13" s="34" t="str">
        <v>L</v>
      </c>
      <c r="G13" s="35" t="str">
        <v>G</v>
      </c>
      <c r="H13" s="36" t="str">
        <v>H</v>
      </c>
      <c r="I13" s="37" t="str">
        <v>E</v>
      </c>
      <c r="J13" s="55"/>
      <c r="K13" s="26"/>
      <c r="L13" s="38">
        <v>9</v>
      </c>
      <c r="M13" s="39" t="str">
        <v>a</v>
      </c>
      <c r="N13" s="40">
        <v>1</v>
      </c>
    </row>
    <row r="14" spans="3:14" s="2" customFormat="1" ht="28" customHeight="1" thickBot="1" x14ac:dyDescent="0.5">
      <c r="E14" s="33" t="str">
        <v>P</v>
      </c>
      <c r="F14" s="41" t="str">
        <v>Q</v>
      </c>
      <c r="G14" s="42" t="str">
        <v>M</v>
      </c>
      <c r="H14" s="43" t="str">
        <v>I</v>
      </c>
      <c r="I14" s="37" t="str">
        <v>J</v>
      </c>
      <c r="J14" s="55"/>
      <c r="K14" s="26"/>
      <c r="L14" s="38">
        <v>8</v>
      </c>
      <c r="M14" s="44" t="str">
        <v>b</v>
      </c>
      <c r="N14" s="40">
        <v>2</v>
      </c>
    </row>
    <row r="15" spans="3:14" s="2" customFormat="1" ht="28" customHeight="1" thickBot="1" x14ac:dyDescent="0.5">
      <c r="E15" s="33" t="str">
        <v>U</v>
      </c>
      <c r="F15" s="45" t="str">
        <v>R</v>
      </c>
      <c r="G15" s="46" t="str">
        <v>S</v>
      </c>
      <c r="H15" s="47" t="str">
        <v>N</v>
      </c>
      <c r="I15" s="37" t="str">
        <v>O</v>
      </c>
      <c r="J15" s="55"/>
      <c r="K15" s="26"/>
      <c r="L15" s="38">
        <v>7</v>
      </c>
      <c r="M15" s="48" t="str">
        <v>c</v>
      </c>
      <c r="N15" s="40">
        <v>3</v>
      </c>
    </row>
    <row r="16" spans="3:14" s="2" customFormat="1" ht="28" customHeight="1" thickBot="1" x14ac:dyDescent="0.5">
      <c r="E16" s="49" t="str">
        <v>V</v>
      </c>
      <c r="F16" s="50" t="str">
        <v>W</v>
      </c>
      <c r="G16" s="50" t="str">
        <v>X</v>
      </c>
      <c r="H16" s="50" t="str">
        <v>Y</v>
      </c>
      <c r="I16" s="51" t="str">
        <v>T</v>
      </c>
      <c r="J16" s="55"/>
      <c r="K16" s="26"/>
      <c r="L16" s="52">
        <v>6</v>
      </c>
      <c r="M16" s="53">
        <v>5</v>
      </c>
      <c r="N16" s="54">
        <v>4</v>
      </c>
    </row>
    <row r="17" spans="5:14" s="2" customFormat="1" ht="28" customHeight="1" x14ac:dyDescent="0.3">
      <c r="E17" s="5"/>
      <c r="F17" s="5"/>
      <c r="G17" s="5"/>
      <c r="H17" s="5"/>
      <c r="I17" s="5"/>
      <c r="J17" s="3"/>
      <c r="L17" s="4"/>
      <c r="M17" s="4"/>
      <c r="N17" s="4"/>
    </row>
    <row r="18" spans="5:14" s="1" customFormat="1" x14ac:dyDescent="0.45">
      <c r="E18" s="7" t="s">
        <v>31</v>
      </c>
      <c r="L18" s="7" t="s">
        <v>31</v>
      </c>
    </row>
    <row r="19" spans="5:14" ht="17" thickBot="1" x14ac:dyDescent="0.5">
      <c r="E19" s="8" t="s">
        <v>39</v>
      </c>
      <c r="L19" s="8" t="s">
        <v>40</v>
      </c>
    </row>
    <row r="20" spans="5:14" ht="28" customHeight="1" thickBot="1" x14ac:dyDescent="0.5">
      <c r="E20" s="27" t="str" cm="1">
        <f t="array" ref="E20:I24">Rotate2Dλ(Letters,1,1)</f>
        <v>B</v>
      </c>
      <c r="F20" s="28" t="str">
        <v>C</v>
      </c>
      <c r="G20" s="28" t="str">
        <v>D</v>
      </c>
      <c r="H20" s="28" t="str">
        <v>E</v>
      </c>
      <c r="I20" s="29" t="str">
        <v>J</v>
      </c>
      <c r="J20" s="26"/>
      <c r="K20" s="26"/>
      <c r="L20" s="30" cm="1">
        <f t="array" ref="L20:N24">Rotate2Dλ(Clock,1,1)</f>
        <v>12</v>
      </c>
      <c r="M20" s="31">
        <v>1</v>
      </c>
      <c r="N20" s="32">
        <v>2</v>
      </c>
    </row>
    <row r="21" spans="5:14" ht="28" customHeight="1" thickBot="1" x14ac:dyDescent="0.5">
      <c r="E21" s="33" t="str">
        <v>A</v>
      </c>
      <c r="F21" s="34" t="str">
        <v>H</v>
      </c>
      <c r="G21" s="35" t="str">
        <v>I</v>
      </c>
      <c r="H21" s="36" t="str">
        <v>N</v>
      </c>
      <c r="I21" s="37" t="str">
        <v>O</v>
      </c>
      <c r="J21" s="26"/>
      <c r="K21" s="26"/>
      <c r="L21" s="38">
        <v>11</v>
      </c>
      <c r="M21" s="39" t="str">
        <v>a</v>
      </c>
      <c r="N21" s="40">
        <v>3</v>
      </c>
    </row>
    <row r="22" spans="5:14" ht="28" customHeight="1" thickBot="1" x14ac:dyDescent="0.5">
      <c r="E22" s="33" t="str">
        <v>F</v>
      </c>
      <c r="F22" s="41" t="str">
        <v>G</v>
      </c>
      <c r="G22" s="42" t="str">
        <v>M</v>
      </c>
      <c r="H22" s="43" t="str">
        <v>S</v>
      </c>
      <c r="I22" s="37" t="str">
        <v>T</v>
      </c>
      <c r="J22" s="26"/>
      <c r="K22" s="26"/>
      <c r="L22" s="38">
        <v>10</v>
      </c>
      <c r="M22" s="44" t="str">
        <v>b</v>
      </c>
      <c r="N22" s="40">
        <v>4</v>
      </c>
    </row>
    <row r="23" spans="5:14" ht="28" customHeight="1" thickBot="1" x14ac:dyDescent="0.5">
      <c r="E23" s="33" t="str">
        <v>K</v>
      </c>
      <c r="F23" s="45" t="str">
        <v>L</v>
      </c>
      <c r="G23" s="46" t="str">
        <v>Q</v>
      </c>
      <c r="H23" s="47" t="str">
        <v>R</v>
      </c>
      <c r="I23" s="37" t="str">
        <v>Y</v>
      </c>
      <c r="J23" s="26"/>
      <c r="K23" s="26"/>
      <c r="L23" s="38">
        <v>9</v>
      </c>
      <c r="M23" s="48" t="str">
        <v>c</v>
      </c>
      <c r="N23" s="40">
        <v>5</v>
      </c>
    </row>
    <row r="24" spans="5:14" ht="28" customHeight="1" thickBot="1" x14ac:dyDescent="0.5">
      <c r="E24" s="49" t="str">
        <v>P</v>
      </c>
      <c r="F24" s="50" t="str">
        <v>U</v>
      </c>
      <c r="G24" s="50" t="str">
        <v>V</v>
      </c>
      <c r="H24" s="50" t="str">
        <v>W</v>
      </c>
      <c r="I24" s="51" t="str">
        <v>X</v>
      </c>
      <c r="J24" s="26"/>
      <c r="K24" s="26"/>
      <c r="L24" s="52">
        <v>8</v>
      </c>
      <c r="M24" s="53">
        <v>7</v>
      </c>
      <c r="N24" s="54">
        <v>6</v>
      </c>
    </row>
    <row r="25" spans="5:14" ht="28" customHeight="1" x14ac:dyDescent="0.45"/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F8A691-CD2C-4DF3-B548-2A82F7FA9C64}">
  <sheetPr codeName="Sheet2">
    <tabColor rgb="FF00B0F0"/>
  </sheetPr>
  <dimension ref="C2:T35"/>
  <sheetViews>
    <sheetView workbookViewId="0">
      <selection activeCell="C21" sqref="C21"/>
    </sheetView>
  </sheetViews>
  <sheetFormatPr defaultColWidth="8.58203125" defaultRowHeight="16" x14ac:dyDescent="0.4"/>
  <cols>
    <col min="1" max="2" width="8.58203125" style="12"/>
    <col min="3" max="3" width="11.25" style="12" bestFit="1" customWidth="1"/>
    <col min="4" max="4" width="10.08203125" style="12" bestFit="1" customWidth="1"/>
    <col min="5" max="5" width="11.33203125" style="12" customWidth="1"/>
    <col min="6" max="6" width="4.5" style="11" customWidth="1"/>
    <col min="7" max="20" width="4.5" style="11" bestFit="1" customWidth="1"/>
    <col min="21" max="16384" width="8.58203125" style="12"/>
  </cols>
  <sheetData>
    <row r="2" spans="6:20" ht="16.5" thickBot="1" x14ac:dyDescent="0.45">
      <c r="F2" s="10" t="s">
        <v>0</v>
      </c>
      <c r="I2" s="10" t="s">
        <v>4</v>
      </c>
    </row>
    <row r="3" spans="6:20" ht="18" customHeight="1" thickBot="1" x14ac:dyDescent="0.45">
      <c r="F3" s="13" cm="1">
        <f t="array" ref="F3:T17">Spiralλ(7)</f>
        <v>197</v>
      </c>
      <c r="G3" s="14">
        <v>196</v>
      </c>
      <c r="H3" s="14">
        <v>195</v>
      </c>
      <c r="I3" s="14">
        <v>194</v>
      </c>
      <c r="J3" s="14">
        <v>193</v>
      </c>
      <c r="K3" s="14">
        <v>192</v>
      </c>
      <c r="L3" s="14">
        <v>191</v>
      </c>
      <c r="M3" s="14">
        <v>190</v>
      </c>
      <c r="N3" s="14">
        <v>189</v>
      </c>
      <c r="O3" s="14">
        <v>188</v>
      </c>
      <c r="P3" s="14">
        <v>187</v>
      </c>
      <c r="Q3" s="14">
        <v>186</v>
      </c>
      <c r="R3" s="14">
        <v>185</v>
      </c>
      <c r="S3" s="14">
        <v>184</v>
      </c>
      <c r="T3" s="15">
        <v>183</v>
      </c>
    </row>
    <row r="4" spans="6:20" ht="18" customHeight="1" thickBot="1" x14ac:dyDescent="0.45">
      <c r="F4" s="16">
        <v>198</v>
      </c>
      <c r="G4" s="17">
        <v>145</v>
      </c>
      <c r="H4" s="14">
        <v>144</v>
      </c>
      <c r="I4" s="14">
        <v>143</v>
      </c>
      <c r="J4" s="14">
        <v>142</v>
      </c>
      <c r="K4" s="14">
        <v>141</v>
      </c>
      <c r="L4" s="14">
        <v>140</v>
      </c>
      <c r="M4" s="14">
        <v>139</v>
      </c>
      <c r="N4" s="14">
        <v>138</v>
      </c>
      <c r="O4" s="14">
        <v>137</v>
      </c>
      <c r="P4" s="14">
        <v>136</v>
      </c>
      <c r="Q4" s="14">
        <v>135</v>
      </c>
      <c r="R4" s="14">
        <v>134</v>
      </c>
      <c r="S4" s="15">
        <v>133</v>
      </c>
      <c r="T4" s="18">
        <v>182</v>
      </c>
    </row>
    <row r="5" spans="6:20" ht="18" customHeight="1" thickBot="1" x14ac:dyDescent="0.45">
      <c r="F5" s="16">
        <v>199</v>
      </c>
      <c r="G5" s="16">
        <v>146</v>
      </c>
      <c r="H5" s="17">
        <v>101</v>
      </c>
      <c r="I5" s="14">
        <v>100</v>
      </c>
      <c r="J5" s="14">
        <v>99</v>
      </c>
      <c r="K5" s="14">
        <v>98</v>
      </c>
      <c r="L5" s="14">
        <v>97</v>
      </c>
      <c r="M5" s="14">
        <v>96</v>
      </c>
      <c r="N5" s="14">
        <v>95</v>
      </c>
      <c r="O5" s="14">
        <v>94</v>
      </c>
      <c r="P5" s="14">
        <v>93</v>
      </c>
      <c r="Q5" s="14">
        <v>92</v>
      </c>
      <c r="R5" s="15">
        <v>91</v>
      </c>
      <c r="S5" s="18">
        <v>132</v>
      </c>
      <c r="T5" s="18">
        <v>181</v>
      </c>
    </row>
    <row r="6" spans="6:20" ht="18" customHeight="1" thickBot="1" x14ac:dyDescent="0.45">
      <c r="F6" s="16">
        <v>200</v>
      </c>
      <c r="G6" s="16">
        <v>147</v>
      </c>
      <c r="H6" s="16">
        <v>102</v>
      </c>
      <c r="I6" s="17">
        <v>65</v>
      </c>
      <c r="J6" s="14">
        <v>64</v>
      </c>
      <c r="K6" s="14">
        <v>63</v>
      </c>
      <c r="L6" s="14">
        <v>62</v>
      </c>
      <c r="M6" s="14">
        <v>61</v>
      </c>
      <c r="N6" s="14">
        <v>60</v>
      </c>
      <c r="O6" s="14">
        <v>59</v>
      </c>
      <c r="P6" s="14">
        <v>58</v>
      </c>
      <c r="Q6" s="15">
        <v>57</v>
      </c>
      <c r="R6" s="18">
        <v>90</v>
      </c>
      <c r="S6" s="18">
        <v>131</v>
      </c>
      <c r="T6" s="18">
        <v>180</v>
      </c>
    </row>
    <row r="7" spans="6:20" ht="18" customHeight="1" thickBot="1" x14ac:dyDescent="0.45">
      <c r="F7" s="16">
        <v>201</v>
      </c>
      <c r="G7" s="16">
        <v>148</v>
      </c>
      <c r="H7" s="16">
        <v>103</v>
      </c>
      <c r="I7" s="16">
        <v>66</v>
      </c>
      <c r="J7" s="17">
        <v>37</v>
      </c>
      <c r="K7" s="14">
        <v>36</v>
      </c>
      <c r="L7" s="14">
        <v>35</v>
      </c>
      <c r="M7" s="14">
        <v>34</v>
      </c>
      <c r="N7" s="14">
        <v>33</v>
      </c>
      <c r="O7" s="14">
        <v>32</v>
      </c>
      <c r="P7" s="15">
        <v>31</v>
      </c>
      <c r="Q7" s="18">
        <v>56</v>
      </c>
      <c r="R7" s="18">
        <v>89</v>
      </c>
      <c r="S7" s="18">
        <v>130</v>
      </c>
      <c r="T7" s="18">
        <v>179</v>
      </c>
    </row>
    <row r="8" spans="6:20" ht="18" customHeight="1" thickBot="1" x14ac:dyDescent="0.45">
      <c r="F8" s="16">
        <v>202</v>
      </c>
      <c r="G8" s="16">
        <v>149</v>
      </c>
      <c r="H8" s="16">
        <v>104</v>
      </c>
      <c r="I8" s="16">
        <v>67</v>
      </c>
      <c r="J8" s="16">
        <v>38</v>
      </c>
      <c r="K8" s="17">
        <v>17</v>
      </c>
      <c r="L8" s="14">
        <v>16</v>
      </c>
      <c r="M8" s="14">
        <v>15</v>
      </c>
      <c r="N8" s="14">
        <v>14</v>
      </c>
      <c r="O8" s="15">
        <v>13</v>
      </c>
      <c r="P8" s="18">
        <v>30</v>
      </c>
      <c r="Q8" s="18">
        <v>55</v>
      </c>
      <c r="R8" s="18">
        <v>88</v>
      </c>
      <c r="S8" s="18">
        <v>129</v>
      </c>
      <c r="T8" s="18">
        <v>178</v>
      </c>
    </row>
    <row r="9" spans="6:20" ht="18" customHeight="1" thickBot="1" x14ac:dyDescent="0.45">
      <c r="F9" s="16">
        <v>203</v>
      </c>
      <c r="G9" s="16">
        <v>150</v>
      </c>
      <c r="H9" s="16">
        <v>105</v>
      </c>
      <c r="I9" s="16">
        <v>68</v>
      </c>
      <c r="J9" s="16">
        <v>39</v>
      </c>
      <c r="K9" s="16">
        <v>18</v>
      </c>
      <c r="L9" s="17">
        <v>5</v>
      </c>
      <c r="M9" s="14">
        <v>4</v>
      </c>
      <c r="N9" s="15">
        <v>3</v>
      </c>
      <c r="O9" s="18">
        <v>12</v>
      </c>
      <c r="P9" s="18">
        <v>29</v>
      </c>
      <c r="Q9" s="18">
        <v>54</v>
      </c>
      <c r="R9" s="18">
        <v>87</v>
      </c>
      <c r="S9" s="18">
        <v>128</v>
      </c>
      <c r="T9" s="18">
        <v>177</v>
      </c>
    </row>
    <row r="10" spans="6:20" ht="18" customHeight="1" thickBot="1" x14ac:dyDescent="0.45">
      <c r="F10" s="16">
        <v>204</v>
      </c>
      <c r="G10" s="16">
        <v>151</v>
      </c>
      <c r="H10" s="16">
        <v>106</v>
      </c>
      <c r="I10" s="16">
        <v>69</v>
      </c>
      <c r="J10" s="16">
        <v>40</v>
      </c>
      <c r="K10" s="16">
        <v>19</v>
      </c>
      <c r="L10" s="16">
        <v>6</v>
      </c>
      <c r="M10" s="19">
        <v>1</v>
      </c>
      <c r="N10" s="18">
        <v>2</v>
      </c>
      <c r="O10" s="18">
        <v>11</v>
      </c>
      <c r="P10" s="18">
        <v>28</v>
      </c>
      <c r="Q10" s="18">
        <v>53</v>
      </c>
      <c r="R10" s="18">
        <v>86</v>
      </c>
      <c r="S10" s="18">
        <v>127</v>
      </c>
      <c r="T10" s="18">
        <v>176</v>
      </c>
    </row>
    <row r="11" spans="6:20" ht="18" customHeight="1" thickBot="1" x14ac:dyDescent="0.45">
      <c r="F11" s="16">
        <v>205</v>
      </c>
      <c r="G11" s="16">
        <v>152</v>
      </c>
      <c r="H11" s="16">
        <v>107</v>
      </c>
      <c r="I11" s="16">
        <v>70</v>
      </c>
      <c r="J11" s="16">
        <v>41</v>
      </c>
      <c r="K11" s="16">
        <v>20</v>
      </c>
      <c r="L11" s="20">
        <v>7</v>
      </c>
      <c r="M11" s="21">
        <v>8</v>
      </c>
      <c r="N11" s="22">
        <v>9</v>
      </c>
      <c r="O11" s="18">
        <v>10</v>
      </c>
      <c r="P11" s="18">
        <v>27</v>
      </c>
      <c r="Q11" s="18">
        <v>52</v>
      </c>
      <c r="R11" s="18">
        <v>85</v>
      </c>
      <c r="S11" s="18">
        <v>126</v>
      </c>
      <c r="T11" s="18">
        <v>175</v>
      </c>
    </row>
    <row r="12" spans="6:20" ht="18" customHeight="1" thickBot="1" x14ac:dyDescent="0.45">
      <c r="F12" s="16">
        <v>206</v>
      </c>
      <c r="G12" s="16">
        <v>153</v>
      </c>
      <c r="H12" s="16">
        <v>108</v>
      </c>
      <c r="I12" s="16">
        <v>71</v>
      </c>
      <c r="J12" s="16">
        <v>42</v>
      </c>
      <c r="K12" s="20">
        <v>21</v>
      </c>
      <c r="L12" s="21">
        <v>22</v>
      </c>
      <c r="M12" s="21">
        <v>23</v>
      </c>
      <c r="N12" s="21">
        <v>24</v>
      </c>
      <c r="O12" s="22">
        <v>25</v>
      </c>
      <c r="P12" s="18">
        <v>26</v>
      </c>
      <c r="Q12" s="18">
        <v>51</v>
      </c>
      <c r="R12" s="18">
        <v>84</v>
      </c>
      <c r="S12" s="18">
        <v>125</v>
      </c>
      <c r="T12" s="18">
        <v>174</v>
      </c>
    </row>
    <row r="13" spans="6:20" ht="18" customHeight="1" thickBot="1" x14ac:dyDescent="0.45">
      <c r="F13" s="16">
        <v>207</v>
      </c>
      <c r="G13" s="16">
        <v>154</v>
      </c>
      <c r="H13" s="16">
        <v>109</v>
      </c>
      <c r="I13" s="16">
        <v>72</v>
      </c>
      <c r="J13" s="20">
        <v>43</v>
      </c>
      <c r="K13" s="21">
        <v>44</v>
      </c>
      <c r="L13" s="21">
        <v>45</v>
      </c>
      <c r="M13" s="21">
        <v>46</v>
      </c>
      <c r="N13" s="21">
        <v>47</v>
      </c>
      <c r="O13" s="21">
        <v>48</v>
      </c>
      <c r="P13" s="22">
        <v>49</v>
      </c>
      <c r="Q13" s="18">
        <v>50</v>
      </c>
      <c r="R13" s="18">
        <v>83</v>
      </c>
      <c r="S13" s="18">
        <v>124</v>
      </c>
      <c r="T13" s="18">
        <v>173</v>
      </c>
    </row>
    <row r="14" spans="6:20" ht="18" customHeight="1" thickBot="1" x14ac:dyDescent="0.45">
      <c r="F14" s="16">
        <v>208</v>
      </c>
      <c r="G14" s="16">
        <v>155</v>
      </c>
      <c r="H14" s="16">
        <v>110</v>
      </c>
      <c r="I14" s="20">
        <v>73</v>
      </c>
      <c r="J14" s="21">
        <v>74</v>
      </c>
      <c r="K14" s="21">
        <v>75</v>
      </c>
      <c r="L14" s="21">
        <v>76</v>
      </c>
      <c r="M14" s="21">
        <v>77</v>
      </c>
      <c r="N14" s="21">
        <v>78</v>
      </c>
      <c r="O14" s="21">
        <v>79</v>
      </c>
      <c r="P14" s="21">
        <v>80</v>
      </c>
      <c r="Q14" s="22">
        <v>81</v>
      </c>
      <c r="R14" s="18">
        <v>82</v>
      </c>
      <c r="S14" s="18">
        <v>123</v>
      </c>
      <c r="T14" s="18">
        <v>172</v>
      </c>
    </row>
    <row r="15" spans="6:20" ht="18" customHeight="1" thickBot="1" x14ac:dyDescent="0.45">
      <c r="F15" s="16">
        <v>209</v>
      </c>
      <c r="G15" s="16">
        <v>156</v>
      </c>
      <c r="H15" s="20">
        <v>111</v>
      </c>
      <c r="I15" s="21">
        <v>112</v>
      </c>
      <c r="J15" s="21">
        <v>113</v>
      </c>
      <c r="K15" s="21">
        <v>114</v>
      </c>
      <c r="L15" s="21">
        <v>115</v>
      </c>
      <c r="M15" s="21">
        <v>116</v>
      </c>
      <c r="N15" s="21">
        <v>117</v>
      </c>
      <c r="O15" s="21">
        <v>118</v>
      </c>
      <c r="P15" s="21">
        <v>119</v>
      </c>
      <c r="Q15" s="21">
        <v>120</v>
      </c>
      <c r="R15" s="22">
        <v>121</v>
      </c>
      <c r="S15" s="18">
        <v>122</v>
      </c>
      <c r="T15" s="18">
        <v>171</v>
      </c>
    </row>
    <row r="16" spans="6:20" ht="18" customHeight="1" thickBot="1" x14ac:dyDescent="0.45">
      <c r="F16" s="16">
        <v>210</v>
      </c>
      <c r="G16" s="20">
        <v>157</v>
      </c>
      <c r="H16" s="21">
        <v>158</v>
      </c>
      <c r="I16" s="21">
        <v>159</v>
      </c>
      <c r="J16" s="21">
        <v>160</v>
      </c>
      <c r="K16" s="21">
        <v>161</v>
      </c>
      <c r="L16" s="21">
        <v>162</v>
      </c>
      <c r="M16" s="21">
        <v>163</v>
      </c>
      <c r="N16" s="21">
        <v>164</v>
      </c>
      <c r="O16" s="21">
        <v>165</v>
      </c>
      <c r="P16" s="21">
        <v>166</v>
      </c>
      <c r="Q16" s="21">
        <v>167</v>
      </c>
      <c r="R16" s="21">
        <v>168</v>
      </c>
      <c r="S16" s="22">
        <v>169</v>
      </c>
      <c r="T16" s="18">
        <v>170</v>
      </c>
    </row>
    <row r="17" spans="3:20" ht="18" customHeight="1" thickBot="1" x14ac:dyDescent="0.45">
      <c r="F17" s="20">
        <v>211</v>
      </c>
      <c r="G17" s="21">
        <v>212</v>
      </c>
      <c r="H17" s="21">
        <v>213</v>
      </c>
      <c r="I17" s="21">
        <v>214</v>
      </c>
      <c r="J17" s="21">
        <v>215</v>
      </c>
      <c r="K17" s="21">
        <v>216</v>
      </c>
      <c r="L17" s="21">
        <v>217</v>
      </c>
      <c r="M17" s="21">
        <v>218</v>
      </c>
      <c r="N17" s="21">
        <v>219</v>
      </c>
      <c r="O17" s="21">
        <v>220</v>
      </c>
      <c r="P17" s="21">
        <v>221</v>
      </c>
      <c r="Q17" s="21">
        <v>222</v>
      </c>
      <c r="R17" s="21">
        <v>223</v>
      </c>
      <c r="S17" s="21">
        <v>224</v>
      </c>
      <c r="T17" s="22">
        <v>225</v>
      </c>
    </row>
    <row r="18" spans="3:20" ht="18" customHeight="1" x14ac:dyDescent="0.4"/>
    <row r="19" spans="3:20" ht="18" customHeight="1" thickBot="1" x14ac:dyDescent="0.45">
      <c r="C19" s="23" t="s">
        <v>1</v>
      </c>
      <c r="D19" s="23" t="s">
        <v>3</v>
      </c>
      <c r="F19" s="10" t="s">
        <v>2</v>
      </c>
    </row>
    <row r="20" spans="3:20" ht="18" customHeight="1" thickBot="1" x14ac:dyDescent="0.45">
      <c r="C20" s="24">
        <v>1</v>
      </c>
      <c r="D20" s="25" t="b">
        <v>0</v>
      </c>
      <c r="F20" s="13" cm="1">
        <f t="array" ref="F20:T34">Rotate2Dλ(_xlfn.ANCHORARRAY(F3),input_rot,direction)</f>
        <v>198</v>
      </c>
      <c r="G20" s="14">
        <v>197</v>
      </c>
      <c r="H20" s="14">
        <v>196</v>
      </c>
      <c r="I20" s="14">
        <v>195</v>
      </c>
      <c r="J20" s="14">
        <v>194</v>
      </c>
      <c r="K20" s="14">
        <v>193</v>
      </c>
      <c r="L20" s="14">
        <v>192</v>
      </c>
      <c r="M20" s="14">
        <v>191</v>
      </c>
      <c r="N20" s="14">
        <v>190</v>
      </c>
      <c r="O20" s="14">
        <v>189</v>
      </c>
      <c r="P20" s="14">
        <v>188</v>
      </c>
      <c r="Q20" s="14">
        <v>187</v>
      </c>
      <c r="R20" s="14">
        <v>186</v>
      </c>
      <c r="S20" s="14">
        <v>185</v>
      </c>
      <c r="T20" s="15">
        <v>184</v>
      </c>
    </row>
    <row r="21" spans="3:20" ht="18" customHeight="1" thickBot="1" x14ac:dyDescent="0.45">
      <c r="F21" s="16">
        <v>199</v>
      </c>
      <c r="G21" s="17">
        <v>146</v>
      </c>
      <c r="H21" s="14">
        <v>145</v>
      </c>
      <c r="I21" s="14">
        <v>144</v>
      </c>
      <c r="J21" s="14">
        <v>143</v>
      </c>
      <c r="K21" s="14">
        <v>142</v>
      </c>
      <c r="L21" s="14">
        <v>141</v>
      </c>
      <c r="M21" s="14">
        <v>140</v>
      </c>
      <c r="N21" s="14">
        <v>139</v>
      </c>
      <c r="O21" s="14">
        <v>138</v>
      </c>
      <c r="P21" s="14">
        <v>137</v>
      </c>
      <c r="Q21" s="14">
        <v>136</v>
      </c>
      <c r="R21" s="14">
        <v>135</v>
      </c>
      <c r="S21" s="15">
        <v>134</v>
      </c>
      <c r="T21" s="18">
        <v>183</v>
      </c>
    </row>
    <row r="22" spans="3:20" ht="18" customHeight="1" thickBot="1" x14ac:dyDescent="0.45">
      <c r="F22" s="16">
        <v>200</v>
      </c>
      <c r="G22" s="16">
        <v>147</v>
      </c>
      <c r="H22" s="17">
        <v>102</v>
      </c>
      <c r="I22" s="14">
        <v>101</v>
      </c>
      <c r="J22" s="14">
        <v>100</v>
      </c>
      <c r="K22" s="14">
        <v>99</v>
      </c>
      <c r="L22" s="14">
        <v>98</v>
      </c>
      <c r="M22" s="14">
        <v>97</v>
      </c>
      <c r="N22" s="14">
        <v>96</v>
      </c>
      <c r="O22" s="14">
        <v>95</v>
      </c>
      <c r="P22" s="14">
        <v>94</v>
      </c>
      <c r="Q22" s="14">
        <v>93</v>
      </c>
      <c r="R22" s="15">
        <v>92</v>
      </c>
      <c r="S22" s="18">
        <v>133</v>
      </c>
      <c r="T22" s="18">
        <v>182</v>
      </c>
    </row>
    <row r="23" spans="3:20" ht="18" customHeight="1" thickBot="1" x14ac:dyDescent="0.45">
      <c r="F23" s="16">
        <v>201</v>
      </c>
      <c r="G23" s="16">
        <v>148</v>
      </c>
      <c r="H23" s="16">
        <v>103</v>
      </c>
      <c r="I23" s="17">
        <v>66</v>
      </c>
      <c r="J23" s="14">
        <v>65</v>
      </c>
      <c r="K23" s="14">
        <v>64</v>
      </c>
      <c r="L23" s="14">
        <v>63</v>
      </c>
      <c r="M23" s="14">
        <v>62</v>
      </c>
      <c r="N23" s="14">
        <v>61</v>
      </c>
      <c r="O23" s="14">
        <v>60</v>
      </c>
      <c r="P23" s="14">
        <v>59</v>
      </c>
      <c r="Q23" s="15">
        <v>58</v>
      </c>
      <c r="R23" s="18">
        <v>91</v>
      </c>
      <c r="S23" s="18">
        <v>132</v>
      </c>
      <c r="T23" s="18">
        <v>181</v>
      </c>
    </row>
    <row r="24" spans="3:20" ht="18" customHeight="1" thickBot="1" x14ac:dyDescent="0.45">
      <c r="F24" s="16">
        <v>202</v>
      </c>
      <c r="G24" s="16">
        <v>149</v>
      </c>
      <c r="H24" s="16">
        <v>104</v>
      </c>
      <c r="I24" s="16">
        <v>67</v>
      </c>
      <c r="J24" s="17">
        <v>38</v>
      </c>
      <c r="K24" s="14">
        <v>37</v>
      </c>
      <c r="L24" s="14">
        <v>36</v>
      </c>
      <c r="M24" s="14">
        <v>35</v>
      </c>
      <c r="N24" s="14">
        <v>34</v>
      </c>
      <c r="O24" s="14">
        <v>33</v>
      </c>
      <c r="P24" s="15">
        <v>32</v>
      </c>
      <c r="Q24" s="18">
        <v>57</v>
      </c>
      <c r="R24" s="18">
        <v>90</v>
      </c>
      <c r="S24" s="18">
        <v>131</v>
      </c>
      <c r="T24" s="18">
        <v>180</v>
      </c>
    </row>
    <row r="25" spans="3:20" ht="18" customHeight="1" thickBot="1" x14ac:dyDescent="0.45">
      <c r="F25" s="16">
        <v>203</v>
      </c>
      <c r="G25" s="16">
        <v>150</v>
      </c>
      <c r="H25" s="16">
        <v>105</v>
      </c>
      <c r="I25" s="16">
        <v>68</v>
      </c>
      <c r="J25" s="16">
        <v>39</v>
      </c>
      <c r="K25" s="17">
        <v>18</v>
      </c>
      <c r="L25" s="14">
        <v>17</v>
      </c>
      <c r="M25" s="14">
        <v>16</v>
      </c>
      <c r="N25" s="14">
        <v>15</v>
      </c>
      <c r="O25" s="15">
        <v>14</v>
      </c>
      <c r="P25" s="18">
        <v>31</v>
      </c>
      <c r="Q25" s="18">
        <v>56</v>
      </c>
      <c r="R25" s="18">
        <v>89</v>
      </c>
      <c r="S25" s="18">
        <v>130</v>
      </c>
      <c r="T25" s="18">
        <v>179</v>
      </c>
    </row>
    <row r="26" spans="3:20" ht="18" customHeight="1" thickBot="1" x14ac:dyDescent="0.45">
      <c r="F26" s="16">
        <v>204</v>
      </c>
      <c r="G26" s="16">
        <v>151</v>
      </c>
      <c r="H26" s="16">
        <v>106</v>
      </c>
      <c r="I26" s="16">
        <v>69</v>
      </c>
      <c r="J26" s="16">
        <v>40</v>
      </c>
      <c r="K26" s="16">
        <v>19</v>
      </c>
      <c r="L26" s="17">
        <v>6</v>
      </c>
      <c r="M26" s="14">
        <v>5</v>
      </c>
      <c r="N26" s="15">
        <v>4</v>
      </c>
      <c r="O26" s="18">
        <v>13</v>
      </c>
      <c r="P26" s="18">
        <v>30</v>
      </c>
      <c r="Q26" s="18">
        <v>55</v>
      </c>
      <c r="R26" s="18">
        <v>88</v>
      </c>
      <c r="S26" s="18">
        <v>129</v>
      </c>
      <c r="T26" s="18">
        <v>178</v>
      </c>
    </row>
    <row r="27" spans="3:20" ht="18" customHeight="1" thickBot="1" x14ac:dyDescent="0.45">
      <c r="F27" s="16">
        <v>205</v>
      </c>
      <c r="G27" s="16">
        <v>152</v>
      </c>
      <c r="H27" s="16">
        <v>107</v>
      </c>
      <c r="I27" s="16">
        <v>70</v>
      </c>
      <c r="J27" s="16">
        <v>41</v>
      </c>
      <c r="K27" s="16">
        <v>20</v>
      </c>
      <c r="L27" s="16">
        <v>7</v>
      </c>
      <c r="M27" s="19">
        <v>1</v>
      </c>
      <c r="N27" s="18">
        <v>3</v>
      </c>
      <c r="O27" s="18">
        <v>12</v>
      </c>
      <c r="P27" s="18">
        <v>29</v>
      </c>
      <c r="Q27" s="18">
        <v>54</v>
      </c>
      <c r="R27" s="18">
        <v>87</v>
      </c>
      <c r="S27" s="18">
        <v>128</v>
      </c>
      <c r="T27" s="18">
        <v>177</v>
      </c>
    </row>
    <row r="28" spans="3:20" ht="18" customHeight="1" thickBot="1" x14ac:dyDescent="0.45">
      <c r="F28" s="16">
        <v>206</v>
      </c>
      <c r="G28" s="16">
        <v>153</v>
      </c>
      <c r="H28" s="16">
        <v>108</v>
      </c>
      <c r="I28" s="16">
        <v>71</v>
      </c>
      <c r="J28" s="16">
        <v>42</v>
      </c>
      <c r="K28" s="16">
        <v>21</v>
      </c>
      <c r="L28" s="20">
        <v>8</v>
      </c>
      <c r="M28" s="21">
        <v>9</v>
      </c>
      <c r="N28" s="22">
        <v>2</v>
      </c>
      <c r="O28" s="18">
        <v>11</v>
      </c>
      <c r="P28" s="18">
        <v>28</v>
      </c>
      <c r="Q28" s="18">
        <v>53</v>
      </c>
      <c r="R28" s="18">
        <v>86</v>
      </c>
      <c r="S28" s="18">
        <v>127</v>
      </c>
      <c r="T28" s="18">
        <v>176</v>
      </c>
    </row>
    <row r="29" spans="3:20" ht="18" customHeight="1" thickBot="1" x14ac:dyDescent="0.45">
      <c r="F29" s="16">
        <v>207</v>
      </c>
      <c r="G29" s="16">
        <v>154</v>
      </c>
      <c r="H29" s="16">
        <v>109</v>
      </c>
      <c r="I29" s="16">
        <v>72</v>
      </c>
      <c r="J29" s="16">
        <v>43</v>
      </c>
      <c r="K29" s="20">
        <v>22</v>
      </c>
      <c r="L29" s="21">
        <v>23</v>
      </c>
      <c r="M29" s="21">
        <v>24</v>
      </c>
      <c r="N29" s="21">
        <v>25</v>
      </c>
      <c r="O29" s="22">
        <v>10</v>
      </c>
      <c r="P29" s="18">
        <v>27</v>
      </c>
      <c r="Q29" s="18">
        <v>52</v>
      </c>
      <c r="R29" s="18">
        <v>85</v>
      </c>
      <c r="S29" s="18">
        <v>126</v>
      </c>
      <c r="T29" s="18">
        <v>175</v>
      </c>
    </row>
    <row r="30" spans="3:20" ht="18" customHeight="1" thickBot="1" x14ac:dyDescent="0.45">
      <c r="F30" s="16">
        <v>208</v>
      </c>
      <c r="G30" s="16">
        <v>155</v>
      </c>
      <c r="H30" s="16">
        <v>110</v>
      </c>
      <c r="I30" s="16">
        <v>73</v>
      </c>
      <c r="J30" s="20">
        <v>44</v>
      </c>
      <c r="K30" s="21">
        <v>45</v>
      </c>
      <c r="L30" s="21">
        <v>46</v>
      </c>
      <c r="M30" s="21">
        <v>47</v>
      </c>
      <c r="N30" s="21">
        <v>48</v>
      </c>
      <c r="O30" s="21">
        <v>49</v>
      </c>
      <c r="P30" s="22">
        <v>26</v>
      </c>
      <c r="Q30" s="18">
        <v>51</v>
      </c>
      <c r="R30" s="18">
        <v>84</v>
      </c>
      <c r="S30" s="18">
        <v>125</v>
      </c>
      <c r="T30" s="18">
        <v>174</v>
      </c>
    </row>
    <row r="31" spans="3:20" ht="18" customHeight="1" thickBot="1" x14ac:dyDescent="0.45">
      <c r="F31" s="16">
        <v>209</v>
      </c>
      <c r="G31" s="16">
        <v>156</v>
      </c>
      <c r="H31" s="16">
        <v>111</v>
      </c>
      <c r="I31" s="20">
        <v>74</v>
      </c>
      <c r="J31" s="21">
        <v>75</v>
      </c>
      <c r="K31" s="21">
        <v>76</v>
      </c>
      <c r="L31" s="21">
        <v>77</v>
      </c>
      <c r="M31" s="21">
        <v>78</v>
      </c>
      <c r="N31" s="21">
        <v>79</v>
      </c>
      <c r="O31" s="21">
        <v>80</v>
      </c>
      <c r="P31" s="21">
        <v>81</v>
      </c>
      <c r="Q31" s="22">
        <v>50</v>
      </c>
      <c r="R31" s="18">
        <v>83</v>
      </c>
      <c r="S31" s="18">
        <v>124</v>
      </c>
      <c r="T31" s="18">
        <v>173</v>
      </c>
    </row>
    <row r="32" spans="3:20" ht="18" customHeight="1" thickBot="1" x14ac:dyDescent="0.45">
      <c r="F32" s="16">
        <v>210</v>
      </c>
      <c r="G32" s="16">
        <v>157</v>
      </c>
      <c r="H32" s="20">
        <v>112</v>
      </c>
      <c r="I32" s="21">
        <v>113</v>
      </c>
      <c r="J32" s="21">
        <v>114</v>
      </c>
      <c r="K32" s="21">
        <v>115</v>
      </c>
      <c r="L32" s="21">
        <v>116</v>
      </c>
      <c r="M32" s="21">
        <v>117</v>
      </c>
      <c r="N32" s="21">
        <v>118</v>
      </c>
      <c r="O32" s="21">
        <v>119</v>
      </c>
      <c r="P32" s="21">
        <v>120</v>
      </c>
      <c r="Q32" s="21">
        <v>121</v>
      </c>
      <c r="R32" s="22">
        <v>82</v>
      </c>
      <c r="S32" s="18">
        <v>123</v>
      </c>
      <c r="T32" s="18">
        <v>172</v>
      </c>
    </row>
    <row r="33" spans="6:20" ht="18" customHeight="1" thickBot="1" x14ac:dyDescent="0.45">
      <c r="F33" s="16">
        <v>211</v>
      </c>
      <c r="G33" s="20">
        <v>158</v>
      </c>
      <c r="H33" s="21">
        <v>159</v>
      </c>
      <c r="I33" s="21">
        <v>160</v>
      </c>
      <c r="J33" s="21">
        <v>161</v>
      </c>
      <c r="K33" s="21">
        <v>162</v>
      </c>
      <c r="L33" s="21">
        <v>163</v>
      </c>
      <c r="M33" s="21">
        <v>164</v>
      </c>
      <c r="N33" s="21">
        <v>165</v>
      </c>
      <c r="O33" s="21">
        <v>166</v>
      </c>
      <c r="P33" s="21">
        <v>167</v>
      </c>
      <c r="Q33" s="21">
        <v>168</v>
      </c>
      <c r="R33" s="21">
        <v>169</v>
      </c>
      <c r="S33" s="22">
        <v>122</v>
      </c>
      <c r="T33" s="18">
        <v>171</v>
      </c>
    </row>
    <row r="34" spans="6:20" ht="18" customHeight="1" thickBot="1" x14ac:dyDescent="0.45">
      <c r="F34" s="20">
        <v>212</v>
      </c>
      <c r="G34" s="21">
        <v>213</v>
      </c>
      <c r="H34" s="21">
        <v>214</v>
      </c>
      <c r="I34" s="21">
        <v>215</v>
      </c>
      <c r="J34" s="21">
        <v>216</v>
      </c>
      <c r="K34" s="21">
        <v>217</v>
      </c>
      <c r="L34" s="21">
        <v>218</v>
      </c>
      <c r="M34" s="21">
        <v>219</v>
      </c>
      <c r="N34" s="21">
        <v>220</v>
      </c>
      <c r="O34" s="21">
        <v>221</v>
      </c>
      <c r="P34" s="21">
        <v>222</v>
      </c>
      <c r="Q34" s="21">
        <v>223</v>
      </c>
      <c r="R34" s="21">
        <v>224</v>
      </c>
      <c r="S34" s="21">
        <v>225</v>
      </c>
      <c r="T34" s="22">
        <v>170</v>
      </c>
    </row>
    <row r="35" spans="6:20" ht="18" customHeight="1" x14ac:dyDescent="0.4"/>
  </sheetData>
  <conditionalFormatting sqref="F3:T17">
    <cfRule type="colorScale" priority="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F20:T34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dataValidations count="1">
    <dataValidation type="list" allowBlank="1" showInputMessage="1" showErrorMessage="1" sqref="D20" xr:uid="{ED02AF09-ECE1-49F9-9576-3D0EABD3BDDD}">
      <formula1>"TRUE,FALSE"</formula1>
    </dataValidation>
  </dataValidations>
  <pageMargins left="0.7" right="0.7" top="0.75" bottom="0.75" header="0.3" footer="0.3"/>
  <drawing r:id="rId1"/>
  <legacyDrawing r:id="rId2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025" r:id="rId3" name="Spinner 1">
              <controlPr defaultSize="0" autoPict="0">
                <anchor>
                  <from>
                    <xdr:col>0</xdr:col>
                    <xdr:colOff>622300</xdr:colOff>
                    <xdr:row>18</xdr:row>
                    <xdr:rowOff>69850</xdr:rowOff>
                  </from>
                  <to>
                    <xdr:col>1</xdr:col>
                    <xdr:colOff>641350</xdr:colOff>
                    <xdr:row>20</xdr:row>
                    <xdr:rowOff>107950</xdr:rowOff>
                  </to>
                </anchor>
              </controlPr>
            </control>
          </mc:Choice>
        </mc:AlternateContent>
      </controls>
    </mc:Choice>
  </mc:AlternateConten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AFEJSONBlob xmlns="http://schemas.advancedformulaenvironment.officeapps.live.com/afejsonblob/1.0">ewAiAHMAYwBoAGUAbQBhACIAOgAiAGgAdAB0AHAAOgAvAC8AcwBjAGgAZQBtAGEAcwAuAGEAZAB2AGEAbgBjAGUAZABmAG8AcgBtAHUAbABhAGUAbgB2AGkAcgBvAG4AbQBlAG4AdAAuAG8AZgBmAGkAYwBlAGEAcABwAHMALgBsAGkAdgBlAC4AYwBvAG0ALwBhAGYAZQBwAHIAbwBqAGUAYwB0AHMALwAwAC4AMgAiACwAIgBmAGkAbABlAHMAIgA6AFsAewAiAHAAYQB0AGgAIgA6ACIALwBwAHIAbwBqAGUAYwB0AHMALwBXAG8AcgBrAGIAbwBvAGsAIgAsACIAdABlAHgAdAAiADoAIgAvAC8AIAAgAEEAdQB0AGgAbwByADoAIAAgACAAIAAgAFAAYQB0AHIAaQBjAGsAIABIAC4AXABuAC8ALwAgACAARABhAHQAZQA6ACAAIAAgACAAIAAgACAAMgAvADIANgAvADIAMAAyADYAXABuAFwAbgAvAC8AIAAgAFQAaQB0AGwAZQA6ACAAIAAgACAAIAAgAFIAbwB0AGEAdABlADIARAC7AyAARABlAG0AbwBuAHMAdAByAGEAdABpAG8AbgBcAG4AXABuAC8AKgBcAG4AIAAgACAAIABUAGgAaQBzACAAZABlAG0AbwBuAHMAdAByAGEAdABpAG8AbgAgAGkAbABsAHUAcwB0AHIAYQB0AGUAcwAgAGgAbwB3ACAARQB4AGMAZQBsABkgcwAgAGYAbwByAG0AdQBsAGEAIABsAGEAbgBnAHUAYQBnAGUAIABpAHMAIABlAHgAcAByAGUAcwBzAGkAdgBlAFwAbgAgACAAIAAgAGUAbgBvAHUAZwBoACAAdABvACAAaQBtAHAAbABlAG0AZQBuAHQAIABhACAAZgB1AGwAbAAgADIARAAgAHIAbwB0AGEAdABpAG8AbgBhAGwAIABlAG4AZwBpAG4AZQAgAC0AIABhACAAcwBtAGEAbABsACAAZQB4AGEAbQBwAGwAZQAgAG8AZgBcAG4AIAAgACAAIABFAHgAYwBlAGwAGSBzACAAYwBvAG0AcAB1AHQAYQB0AGkAbwBuAGEAbAAgAGMAbwBtAHAAbABlAHQAZQBuAGUAcwBzAC4AXABuAFwAbgBcAG4AIAAgACAAIABUAGgAZQAgAGwAYQByAGcAZQByACAAdABhAHMAawAgAGMAYQBuACAAYgBlACAAYgByAG8AawBlAG4AIABpAG4AdABvACAAcwBtAGEAbABsAGUAcgAsACAAcwBvAGwAdgBhAGIAbABlACAAdABhAHMAawBzADoAXABuAFwAbgAgACAAIAAgAEUAeAB0AHIAYQBjAHQAIAByAGkAbgBnACAAYgB5ACAAbABhAHkAZQByACAAZgByAG8AbQAgAGEAIAAyAEQAIABnAHIAaQBkACAALQAgAFIAaQBuAGcAuwNcAG4AIAAgACAAIAAgACAAIAAgACAAIAAgACAAIAAgACAAIAAgACAAIAAgACAAIAAgACAAfABcAG4AIAAgACAAIAAgACAAIAAgACAAIAAgACAAIAAgACAAIAAgACAAIAAgACAAIAAgACAAfABcAG4AIAAgACAAIABSAG8AdABhAHQAZQAgAGUAYQBjAGgAIAByAGkAbgBnACAAdwBpAHQAaAAgAHIAZQBjAHUAcgBzAGkAbwBuACAAKABDAGwAbwBjAGsAdwBpAHMAZQAgAG8AcgAgAFIAZQB2AGUAcgBzAGUAKQAgAFIAaQBuAGcAUgBvAHQAYQB0AGUAuwMsACAAUgBpAG4AZwBSAG8AdABhAHQAZQBSAGUAdgC7A1wAbgAgACAAIAAgACAAIAAgACAAIAAgACAAIAAgACAAIAAgACAAIAAgACAAIAAgACAAIAB8AFwAbgAgACAAIAAgACAAIAAgACAAIAAgACAAIAAgACAAIAAgACAAIAAgACAAIAAgACAAIAB8AFwAbgAgACAAIAAgAEkAdABlAHIAYQB0AGUAIAB0AGgAcgBvAHUAZwBoACAAYQBsAGwAIAByAGkAbgBnAHMAIABpAG4AIABhACAAMgBEACAAYQByAHIAYQB5ACAAYQBuAGQAIAByAG8AdABhAHQAZQAgAC0AIABSAG8AdABhAHQAZQAyAEQAuwNcAG4AXABuACAAIAAgACAAKgAqACAAUgBvAHQAYQB0AGUAMgBEALsDIABjAGEAbABsAHMAIABSAGkAbgBnAFIAbwB0AGEAdABlALsDIABvAHIAIABSAGkAbgBnAFIAbwB0AGEAdABlAFIAZQB2ALsDLAAgAHcAaABpAGMAaAAgAGMAYQBsAGwAIABSAGkAbgBnALsDIAAqACoAXABuAFwAbgBcAG4ARQB4AGEAbQBwAGwAZQBzADoAXABuAFwAbgBBACAAcgBpAG4AZwAgAGkAcwAgAGEAIABwAGUAcgBpAG0AZQB0AGUAcgAgAGwAYQB5AGUAcgAgAG8AZgAgAHQAaABlACAAZwByAGkAZAA6ACAAdABoAGUAIABvAHUAdABlAHIAbQBvAHMAdAAgAGMAZQBsAGwAcwAgAGYAbwByAG0AIAByAGkAbgBnACAAMQAsAFwAbgB0AGgAZQAgAG4AZQB4AHQAIABsAGEAeQBlAHIAIABpAG4AdwBhAHIAZAAgAGkAcwAgAHIAaQBuAGcAIAAyACwAIABhAG4AZAAgAHMAbwAgAG8AbgAuAFwAbgBcAG4AXABuAEwAZQB0AHQAZQByAHMAIABpAHMAIABjAG8AbQBwAHIAaQBzAGUAZAAgAG8AZgAgADMAIAByAGkAbgBnAHMAXAB0AFwAdABcAHQAXAB0AFwAdABcAHQAXABuAFwAdABBAFwAdABCAFwAdABDAFwAdABEAFwAdABFAFwAdABcAG4AXAB0AEYAXAB0AEcAXAB0AEgAXAB0AEkAXAB0AEoAXAB0AFwAbgBcAHQASwBcAHQATABcAHQATQBcAHQATgBcAHQATwBcAHQAXABuAFwAdABQAFwAdABRAFwAdABSAFwAdABTAFwAdABUAFwAdABcAG4AXAB0AFUAXAB0AFYAXAB0AFcAXAB0AFgAXAB0AFkAXAB0AFwAbgBcAHQAXAB0AFwAdABcAHQAXAB0AFwAdABcAG4AXAB0AEMAbABvAGMAawB3AGkAcwBlACAAcgBvAHQAYQB0AGkAbwBuACAAYgB5ACAAcgBpAG4AZwBcAHQAXAB0AFwAdABcAHQAXAB0AFwAbgBcAHQAPQBSAG8AdABhAHQAZQAyAEQAuwMoAEwAZQB0AHQAZQByAHMALAAxACkAXAB0AFwAdABcAHQAXAB0AFwAdABcAG4AXAB0AEYAXAB0AEEAXAB0AEIAXAB0AEMAXAB0AEQAXAB0AFwAbgBcAHQASwBcAHQATABcAHQARwBcAHQASABcAHQARQBcAHQAXABuAFwAdABQAFwAdABRAFwAdABNAFwAdABJAFwAdABKAFwAdABcAG4AXAB0AFUAXAB0AFIAXAB0AFMAXAB0AE4AXAB0AE8AXAB0AFwAbgBcAHQAVgBcAHQAVwBcAHQAWABcAHQAWQBcAHQAVABcAHQAXABuAFwAdABcAHQAXAB0AFwAdABcAHQAXAB0AFwAbgBcAHQAUgBlAHYAZQByAHMAZQAgAHIAbwB0AGEAdABpAG8AbgAgAGIAeQAgAHIAaQBuAGcAXAB0AFwAdABcAHQAXAB0AFwAdABcAG4AXAB0AD0AUgBvAHQAYQB0AGUAMgBEALsDKABMAGUAdAB0AGUAcgBzACwAMQAsADEAKQBcAHQAXAB0AFwAdABcAHQAXAB0AFwAbgBcAHQAQgBcAHQAQwBcAHQARABcAHQARQBcAHQASgBcAHQAXABuAFwAdABBAFwAdABIAFwAdABJAFwAdABOAFwAdABPAFwAdABcAG4AXAB0AEYAXAB0AEcAXAB0AE0AXAB0AFMAXAB0AFQAXAB0AFwAbgBcAHQASwBcAHQATABcAHQAUQBcAHQAUgBcAHQAWQBcAHQAXABuAFwAdABQAFwAdABVAFwAdABWAFwAdABXAFwAdABYAFwAdABcAG4AXABuACoALwBcAG4ALwAvAC0ALQAtAC0ALQAtAC0ALQAtAC0ALQAtAC0ALQAtAC0ALQAtAC0ALQAtAC0ALQAtAC0ALQAtAC0ALQAtAC0ALQAtAC0ALQAtAC0ALQAtAC0ALQAtAC0ALQAtAC0ALQAtAC0ALQAtAC0ALQAtAC0ALQAtAC0ALQAtAC0ALQAtAC0ALQAtAC0ALQAtAC0ALQAtAC0ALQAtAC0ALQAtAC0ALQAtAC0ALQBcAG4ALwAvACAAIABSAG8AdABhAHQAZQAyAEQAuwNcAG4ALwAvAC0ALQAtAC0ALQAtAC0ALQAtAC0ALQAtAC0ALQAtAC0ALQAtAC0ALQAtAC0ALQAtAC0ALQAtAC0ALQAtAC0ALQAtAC0ALQAtAC0ALQAtAC0ALQAtAC0ALQAtAC0ALQAtAC0ALQAtAC0ALQAtAC0ALQAtAC0ALQAtAC0ALQAtAC0ALQAtAC0ALQAtAC0ALQAtAC0ALQAtAC0ALQAtAC0ALQAtAC0ALQBcAG4ALwAvACAAIABBAHUAdABoAG8AcgA6ACAAIAAgACAAIAAgAFAAYQB0AHIAaQBjAGsAIABIAC4AXABuAC8ALwAgACAARABhAHQAZQA6ACAAIAAgACAAIAAgACAAIAAyAC8AMQA4AC8AMgAwADIANgBcAG4ALwAvACAAIABWAGUAcgBzAGkAbwBuADoAIAAgACAAIAAgADEALgAwAFwAbgAvAC8AXABuAC8ALwAgACAARABlAHMAYwByAGkAcAB0AGkAbwBuADoAXABuAC8ALwAgACAAIAAgACAAIABSAG8AdABhAHQAZQBzACAAYQBsAGwAIABsAGEAeQBlAHIAcwAgACgAcgBpAG4AZwBzACkAIABvAGYAIABhACAAMgBEACAAZwByAGkAZAAgAGIAeQAgAGEAIABzAHAAZQBjAGkAZgBpAGUAZAAgAG4AdQBtAGIAZQByACAAbwBmACAAcgBvAHQAYQB0AGkAbwBuAHMALABcAG4ALwAvACAAIAAgACAAIAAgAGUAaQB0AGgAZQByACAAYwBsAG8AYwBrAHcAaQBzAGUAIABvAHIAIABjAG8AdQBuAHQAZQByAGMAbABvAGMAawB3AGkAcwBlAC4AIABSAG8AdABhAHQAaQBvAG4AIABjAG8AdQBuAHQAcwAgAGEAcgBlACAAbwBwAHQAaQBtAGkAegBlAGQAIABiAGEAcwBlAGQAIABvAG4AXABuAC8ALwAgACAAIAAgACAAIAB0AGgAZQAgAHAAZQByAGkAbQBlAHQAZQByACAAbwBmACAAdABoAGUAIABvAHUAdABlAHIAIAByAGkAbgBnACAAcwBvACAAdABoAGEAdAAgAG4AbwAgAG0AbwByAGUAIAByAG8AdABhAHQAaQBvAG4AIABzAHQAZQBwAHMAIABhAHIAZQAgAHAAZQByAGYAbwByAG0AZQBkAFwAbgAvAC8AIAAgACAAIAAgACAAdABoAGEAbgAgAG0AYQB0AGgAZQBtAGEAdABpAGMAYQBsAGwAeQAgAG4AZQBjAGUAcwBzAGEAcgB5AC4AXABuAC8ALwBcAG4ALwAvACAAIAAgACAAIAAgAEUAeABhAG0AcABsAGUAOgBcAG4ALwAvACAAIAAgACAAIAAgACAAIAAgACAARgBvAHIAIABhACAAMQAwANcAMQAwACAAZwByAGkAZAAgAHcAaQB0AGgAIAA1ADAAMAAgAHIAZQBxAHUAZQBzAHQAZQBkACAAcgBvAHQAYQB0AGkAbwBuAHMAOgBcAG4ALwAvAFwAbgAvAC8AIAAgACAAIAAgACAAIAAgACAAIAAgACAAIAAgAE0ATwBEACgANQAwADAALAAgACgAMQAwACoAMgAgACsAIAAxADAAKgAyACkAIAAtACAANAApACAAPQAgADMAMgBcAG4ALwAvAFwAbgAvAC8AIAAgACAAIAAgACAAIAAgACAAIABPAG4AbAB5ACAAMwAyACAAZQBmAGYAZQBjAHQAaQB2AGUAIAByAG8AdABhAHQAaQBvAG4AcwAgAGEAcgBlACAAcgBlAHEAdQBpAHIAZQBkACAAdABvACAAcAByAG8AZAB1AGMAZQAgAHQAaABlACAAZgBpAG4AYQBsACAAcwB0AGEAdABlAC4AXABuAC8ALwBcAG4ALwAvACAAIABQAGEAcgBhAG0AZQB0AGUAcgBzADoAXABuAC8ALwAgACAAIAAgACAAIABnAHIAaQBkACAAIAAgACAAIAAgACAAIAATICAAUgBlAHEAdQBpAHIAZQBkACAAMgBEACAAYQByAHIAYQB5ACAAcgBlAHAAcgBlAHMAZQBuAHQAaQBuAGcAIAB0AGgAZQAgAGYAdQBsAGwAIABnAHIAaQBkAC4AXABuAC8ALwAgACAAIAAgACAAIABbAHIAbwB0AGEAdABpAG8AbgBzAF0AIAATICAATwBwAHQAaQBvAG4AYQBsACAAbgB1AG0AYgBlAHIAIABvAGYAIAByAG8AdABhAHQAaQBvAG4AcwAuACAARABlAGYAYQB1AGwAdABzACAAdABvACAAMQAgAGkAZgAgAG8AbQBpAHQAdABlAGQALgBcAG4ALwAvACAAIAAgACAAIAAgACAAIAAgACAAIAAgACAAIAAgACAAIAAgACAAIABOAGUAZwBhAHQAaQB2AGUAIABvAHIAIABuAG8AbgAtAG4AdQBtAGUAcgBpAGMAIAB2AGEAbAB1AGUAcwAgAGEAcgBlACAAdAByAGUAYQB0AGUAZAAgAGEAcwAgAGkAbgB2AGEAbABpAGQALgBcAG4ALwAvACAAIAAgACAAIAAgAFsAcgBlAHYAZQByAHMAZQBdACAAIAAgABMgIABPAHAAdABpAG8AbgBhAGwAIABCAG8AbwBsAGUAYQBuAC4AIABJAGYAIABUAFIAVQBFACwAIAByAG8AdABhAHQAZQBzACAAZQBhAGMAaAAgAHIAaQBuAGcAIABpAG4AIAB0AGgAZQAgAHIAZQB2AGUAcgBzAGUAXABuAC8ALwAgACAAIAAgACAAIAAgACAAIAAgACAAIAAgACAAIAAgACAAIAAgACAAKABjAG8AdQBuAHQAZQByAGMAbABvAGMAawB3AGkAcwBlACkAIABkAGkAcgBlAGMAdABpAG8AbgAuACAASQBmACAAbwBtAGkAdAB0AGUAZAAsACAAcgBvAHQAYQB0AGkAbwBuACAAaQBzACAAYwBsAG8AYwBrAHcAaQBzAGUALgBcAG4ALwAvAFwAbgAvAC8AIAAgAE4AbwB0AGUAcwA6AFwAbgAvAC8AIAAgACAAIAAgACAAIiAgAFQAaABpAHMAIAB3AHIAYQBwAHAAZQByACAAYQBwAHAAbABpAGUAcwAgAHIAbwB0AGEAdABpAG8AbgAgAG8AcAB0AGkAbQBpAHoAYQB0AGkAbwBuACAAZwBsAG8AYgBhAGwAbAB5AC4AIABFAGEAYwBoACAAcgBpAG4AZwAgAHIAZQBjAGUAaQB2AGUAcwAgAHQAaABlAFwAbgAvAC8AIAAgACAAIAAgACAAIAAgAHMAYQBtAGUAIABlAGYAZgBlAGMAdABpAHYAZQAgAHIAbwB0AGEAdABpAG8AbgAgAGMAbwB1AG4AdAAuAFwAbgAvAC8AIAAgACAAIAAgACAAIiAgAEwAaQB0AGUAcgBhAGwAIAByAG8AdABhAHQAaQBvAG4AIABiAGUAaABhAHYAaQBvAHIAIABpAHMAIABoAGEAbgBkAGwAZQBkACAAYgB5ACAAUgBpAG4AZwBSAG8AdABhAHQAZQC7AyAAYQBuAGQAIABSAGkAbgBnAFIAbwB0AGEAdABlAFIAZQB2ALsDLgBcAG4ALwAvACAAIAAgACAAIAAgACIgIABEAGUAZwBlAG4AZQByAGEAdABlACAAcgBpAG4AZwBzACAAKAAxANcATgAsACAATgDXADEALAAgADIA1wBOACwAIABlAHQAYwAuACkAIABhAHIAZQAgAHMAYQBmAGUAbAB5ACAAaABhAG4AZABsAGUAZAAgAHcAaQB0AGgAaQBuACAAdABoAGUAIAByAGkAbgBnAFwAbgAvAC8AIAAgACAAIAAgACAAIAAgAHIAbwB0AGEAdABpAG8AbgAgAGYAdQBuAGMAdABpAG8AbgBzACAAdgBpAGEAIABSAGkAbgBnALsDIABhAG4AZAAgAFMAcQB1AGUAZQB6AGUAuwMuAFwAbgAvAC8AXABuAC8ALwAgACAATABhAG0AYgBkAGEAcwAgAGMAYQBsAGwAZQBkADoAXABuAC8ALwAgACAAIAAgACAAIABSAGkAbgBnAFIAbwB0AGEAdABlALsDLAAgAFIAaQBuAGcAUgBvAHQAYQB0AGUAUgBlAHYAuwNcAG4ALwAvACAAIAAgACAAIAAgACgAUgBpAG4AZwC7AyAAYQBuAGQAIABTAHEAdQBlAGUAegBlALsDIABhAHIAZQAgAGMAYQBsAGwAZQBkACAAaQBuAHQAZQByAG4AYQBsAGwAeQAgAGIAeQAgAHQAaABvAHMAZQAgAGYAdQBuAGMAdABpAG8AbgBzAC4AKQBcAG4AXABuAFwAbgBSAG8AdABhAHQAZQAyAEQAuwM9AFwAbgBMAEEATQBCAEQAQQAoAFwAbgAgACAAIAAgAGcAcgBpAGQALABcAG4AIAAgACAAIABbAHIAbwB0AGEAdABpAG8AbgBzAF0ALABcAG4AIAAgACAAIABbAHIAZQB2AGUAcgBzAGUAXQAsAFwAbgBMAEUAVAAoAFwAbgAgACAAIAAgAC8ALwBEAGkAbQBlAG4AcwBpAG8AbgBzAFwAbgAgACAAIAAgAGgALAAgACAAIAAgACAAIAAgACAAIAAgACAAIAAgAFIATwBXAFMAKABnAHIAaQBkACkALAAgACAAIAAgACAAdwAsACAAIABDAE8ATABVAE0ATgBTACgAZwByAGkAZAApACwAXABuAFwAbgAgACAAIAAgAC8ALwBTAGUAdAAgAHIAbwB0AGEAdABpAG8AbgAgAGMAbwB1AG4AdABcAG4AIAAgACAAIAByAG8AdABhAHQAaQBvAG4AcwAsACAAIAAgACAAIABJAEYAKABJAFMATwBNAEkAVABUAEUARAAoAHIAbwB0AGEAdABpAG8AbgBzACkALAAxACwAcgBvAHQAYQB0AGkAbwBuAHMAKQAsAFwAbgBcAG4AIAAgACAAIAAvAC8ATgBvAC0AcgBvAHQAYQB0AGkAbwBuACAAcwBjAGUAbgBhAHIAaQBvAHMAXABuACAAIAAgACAASQBzAFMAYwBhAGwAYQByAD8ALAAgACAAIAAgACAAQQBOAEQAKABoACAAPQAgADEALAB3ACAAPQAgADEAKQAsAFwAbgAgACAAIAAgAEkAcwBJAEQAPwAsACAAIAAgACAAIAAgACAAIAAgAFgATwBSACgAaAAgAD0AIAAxACwAIAB3ACAAPQAgADEAKQAsAFwAbgBcAG4AIAAgACAAIAAvAC8ASABhAGwAdABpAG4AZwAgAHMAYwBlAG4AYQByAGkAbwBcAG4AIAAgACAAIABJAG4AdgBhAGwAaQBkAFIAbwB0AD8ALAAgACAAIABPAFIAKABJAFMAVABFAFgAVAAoAHIAbwB0AGEAdABpAG8AbgBzACkALAByAG8AdABhAHQAaQBvAG4AcwAgADwAPQAgADAAKQAsAFwAbgBcAG4AIAAgACAAIAAvAC8ATABvAGcAaQBjACAAZwBhAHQAZQBcAG4AIAAgACAAIABJAEYAKABJAHMAUwBjAGEAbABhAHIAPwAsAGcAcgBpAGQALABcAG4AIAAgACAAIAAgACAAIAAgAEkARgAoAEkAcwBJAEQAPwAsAGcAcgBpAGQALABcAG4AIAAgACAAIAAgACAAIAAgACAAIAAgACAASQBGACgASQBuAHYAYQBsAGkAZABSAG8AdAA/ACwAXAAiACMAUgBPAFQAQQBUAEkATwBOACEAXAAiACwAXABuAEwARQBUACgAXABuACAAIAAgACAALwAvAEgAbwB3ACAAbQBhAG4AeQAgAHIAbwB0AGEAdABpAG8AbgBzACAAYQByAGUAIABuAGUAZQBkAGUAZAA/AFwAbgAgACAAIAAgAHAAYQBzAHMAZQBzACwAIAAgACAAIAAgACAAIAAgAE0ATwBEACgAcgBvAHQAYQB0AGkAbwBuAHMALAAoAGgAKgAyACAAKwAgAHcAKgAyACkAIAAtACAANAApACwAXABuAFwAbgAgACAAIAAgAC8ALwBTAGUAdAAgAHIAbwB0AGEAdABpAG8AbgAgAGYAdQBuAGMAdABpAG8AbgBcAG4AIAAgACAAIABJAHMAQwBsAG8AYwBrAHcAaQBzAGUAPwAsACAAIABPAFIAKABJAFMATwBNAEkAVABUAEUARAAoAHIAZQB2AGUAcgBzAGUAKQAsAHIAZQB2AGUAcgBzAGUAIAA9ACAARgBBAEwAUwBFACkALABcAG4AIAAgACAAIABSAG8AdABhAHQAZQC7AywAIAAgACAAIAAgACAAIABJAEYAKABJAHMAQwBsAG8AYwBrAHcAaQBzAGUAPwAsAFIAaQBuAGcAUgBvAHQAYQB0AGUAuwMsAFIAaQBuAGcAUgBvAHQAYQB0AGUAUgBlAHYAuwMpACwAXABuAFwAbgAgACAAIAAgAC8ALwBSAGkAbgBnACAAYwBvAHUAbgB0ACAAbABhAHkAZQByAHMAXABuACAAIAAgACAAbABhAHkAZQByAHMALAAgACAAIAAgACAAIAAgACAAKABNAEkATgAoAGgALAB3ACkAIAArACAAMQApACAALwAgADIALABcAG4AIAAgACAAIABrACwAIAAgACAAIAAgACAAIAAgACAAIAAgACAAIABTAEUAUQBVAEUATgBDAEUAKABsAGEAeQBlAHIAcwApACwAXABuAFwAbgAgACAAIAAgAC8ALwBSAG8AdABhAHQAZQAgAGUAYQBjAGgAIABsAGEAeQBlAHIAIABvAGYAIAAyAEQAIABhAHIAcgBhAHkAXABuACAAIAAgACAASQB0AGUAcgBhAHQAZQC7AywAIAAgACAAIAAgACAATABBAE0AQgBEAEEAKABhAGMAYwAsAGUAYQBjAGgAXwBsAGEAeQBlAHIALABSAG8AdABhAHQAZQC7AygAYQBjAGMALABlAGEAYwBoAF8AbABhAHkAZQByACwAcABhAHMAcwBlAHMAKQApACwAXABuACAAIAAgACAAcgBvAHQAYQB0AGUAZAAsACAAIAAgACAAIAAgACAAUgBFAEQAVQBDAEUAKABnAHIAaQBkACwAawAsAEkAdABlAHIAYQB0AGUAuwMpACwAXABuACAAIAAgACAAcgBvAHQAYQB0AGUAZABcAG4AKQApACkAKQApACkAOwBcAG4AXABuAFwAbgAvAC8ALQAtAC0ALQAtAC0ALQAtAC0ALQAtAC0ALQAtAC0ALQAtAC0ALQAtAC0ALQAtAC0ALQAtAC0ALQAtAC0ALQAtAC0ALQAtAC0ALQAtAC0ALQAtAC0ALQAtAC0ALQAtAC0ALQAtAC0ALQAtAC0ALQAtAC0ALQAtAC0ALQAtAC0ALQAtAC0ALQAtAC0ALQAtAC0ALQAtAC0ALQAtAC0ALQAtAC0ALQAtAFwAbgAvAC8AIAAgAFIAaQBuAGcAUgBvAHQAYQB0AGUAUgBlAHYAuwNcAG4ALwAvAC0ALQAtAC0ALQAtAC0ALQAtAC0ALQAtAC0ALQAtAC0ALQAtAC0ALQAtAC0ALQAtAC0ALQAtAC0ALQAtAC0ALQAtAC0ALQAtAC0ALQAtAC0ALQAtAC0ALQAtAC0ALQAtAC0ALQAtAC0ALQAtAC0ALQAtAC0ALQAtAC0ALQAtAC0ALQAtAC0ALQAtAC0ALQAtAC0ALQAtAC0ALQAtAC0ALQAtAC0ALQBcAG4ALwAvACAAIABBAHUAdABoAG8AcgA6ACAAIAAgACAAIAAgAFAAYQB0AHIAaQBjAGsAIABIAC4AXABuAC8ALwAgACAARABhAHQAZQA6ACAAIAAgACAAIAAgACAAIAAyAC8AMQA4AC8AMgAwADIANgBcAG4ALwAvACAAIABWAGUAcgBzAGkAbwBuADoAIAAgACAAIAAgADEALgAwAFwAbgAvAC8AXABuAC8ALwAgACAARABlAHMAYwByAGkAcAB0AGkAbwBuADoAXABuAC8ALwAgACAAIAAgACAAIABSAG8AdABhAHQAZQBzACAAYQAgAHMAaQBuAGcAbABlACAAcgBpAG4AZwAgACgAbABhAHkAZQByACkAIABvAGYAIABhACAAMgBEACAAZwByAGkAZAAgAGkAbgAgAHQAaABlACAAcgBlAHYAZQByAHMAZQAgACgAYwBvAHUAbgB0AGUAcgBjAGwAbwBjAGsAdwBpAHMAZQApAFwAbgAvAC8AIAAgACAAIAAgACAAZABpAHIAZQBjAHQAaQBvAG4AIAB3AGgAaQBsAGUAIABwAHIAZQBzAGUAcgB2AGkAbgBnACAAdABoAGUAIABnAHIAaQBkABkgcwAgAHMAaABhAHAAZQAuACAAVABoAGUAIABmAHUAbgBjAHQAaQBvAG4AIABhAGMAYwBlAHAAdABzACAAYQAgAHMAbwB1AHIAYwBlAFwAbgAvAC8AIAAgACAAIAAgACAAZwByAGkAZAAsACAAYQAgAHQAYQByAGcAZQB0ACAAbABhAHkAZQByACAAaQBuAGQAZQB4ACwAIABhAG4AZAAgAGEAbgAgAG8AcAB0AGkAbwBuAGEAbAAgAHIAbwB0AGEAdABpAG8AbgAgAGMAbwB1AG4AdAAuACAAVABoAGUAIAByAGUAdAB1AHIAbgBlAGQAIABnAHIAaQBkAFwAbgAvAC8AIAAgACAAIAAgACAAbQBhAHQAYwBoAGUAcwAgAHQAaABlACAAZABpAG0AZQBuAHMAaQBvAG4AcwAgAG8AZgAgAHQAaABlACAAaQBuAHAAdQB0ACAAZwByAGkAZAAuAFwAbgAvAC8AXABuAC8ALwAgACAAUABhAHIAYQBtAGUAdABlAHIAcwA6AFwAbgAvAC8AIAAgACAAIAAgACAAZwByAGkAZAAgACAAIAAgACAAIAAgACAAEyAgAFIAZQBxAHUAaQByAGUAZAAgADIARAAgAGEAcgByAGEAeQAgAHIAZQBwAHIAZQBzAGUAbgB0AGkAbgBnACAAdABoAGUAIABmAHUAbABsACAAZwByAGkAZAAuAFwAbgAvAC8AIAAgACAAIAAgACAAbABhAHkAZQByACAAIAAgACAAIAAgACAAEyAgAEkAbgB0AGUAZwBlAHIAIABlIiAAMQAgAGkAbgBkAGkAYwBhAHQAaQBuAGcAIAB3AGgAaQBjAGgAIAByAGkAbgBnACAAdABvACAAcgBvAHQAYQB0AGUALgBcAG4ALwAvACAAIAAgACAAIAAgACAAIAAgACAAIAAgACAAIAAgACAAIAAgACAAIABGAG8AcgAgAGEAbgAgAE4A1wBNACAAZwByAGkAZAAsACAAbABhAHkAZQByACAAMQAgAGkAcwAgAHQAaABlACAAbwB1AHQAZQByAG0AbwBzAHQAIAByAGkAbgBnAC4AXABuAC8ALwAgACAAIAAgACAAIAAgACAAIAAgACAAIAAgACAAIAAgACAAIAAgACAATABhAHkAZQByAHMAIABlAHgAYwBlAGUAZABpAG4AZwAgAHQAaABlACAAaQBuAG4AZQByAG0AbwBzAHQAIAByAGkAbgBnACAAcgBlAHQAdQByAG4AIAB0AGgAZQAgAGcAcgBpAGQAIAB1AG4AYwBoAGEAbgBnAGUAZAAuAFwAbgAvAC8AIAAgACAAIAAgACAAWwByAG8AdABhAHQAaQBvAG4AcwBdACAAEyAgAE8AcAB0AGkAbwBuAGEAbAAgAG4AdQBtAGIAZQByACAAbwBmACAAYwBvAHUAbgB0AGUAcgBjAGwAbwBjAGsAdwBpAHMAZQAgAHIAbwB0AGEAdABpAG8AbgBzAC4AXABuAC8ALwAgACAAIAAgACAAIAAgACAAIAAgACAAIAAgACAAIAAgACAAIAAgACAARABlAGYAYQB1AGwAdABzACAAdABvACAAMQAgAGkAZgAgAG8AbQBpAHQAdABlAGQALgAgAE4AZQBnAGEAdABpAHYAZQAgAG8AcgAgAG4AbwBuAC0AbgB1AG0AZQByAGkAYwAgAHYAYQBsAHUAZQBzAFwAbgAvAC8AIAAgACAAIAAgACAAIAAgACAAIAAgACAAIAAgACAAIAAgACAAIAAgAGEAcgBlACAAdAByAGUAYQB0AGUAZAAgAGEAcwAgAGkAbgB2AGEAbABpAGQALgBcAG4ALwAvAFwAbgAvAC8AIAAgAE4AbwB0AGUAcwA6AFwAbgAvAC8AIAAgACAAIAAgACAAIiAgAFQAaABpAHMAIABmAHUAbgBjAHQAaQBvAG4AIABwAGUAcgBmAG8AcgBtAHMAIABsAGkAdABlAHIAYQBsACAAcgBvAHQAYQB0AGkAbwBuACAAcwB0AGUAcABzADsAIABpAHQAIABkAG8AZQBzACAAbgBvAHQAIABvAHAAdABpAG0AaQB6AGUAIAByAG8AdABhAHQAaQBvAG4AXABuAC8ALwAgACAAIAAgACAAIAAgACAAYwBvAHUAbgB0AHMALgAgAE8AcAB0AGkAbQBpAHoAYQB0AGkAbwBuACAAaQBzACAAaABhAG4AZABsAGUAZAAgAGIAeQAgAHQAaABlACAAUgBvAHQAYQB0AGUAMgBEALsDIAB3AHIAYQBwAHAAZQByAC4AXABuAC8ALwAgACAAIAAgACAAIAAiICAAUgBpAG4AZwAgAGUAeAB0AHIAYQBjAHQAaQBvAG4AIABpAHMAIABwAGUAcgBmAG8AcgBtAGUAZAAgAHYAaQBhACAAUgBpAG4AZwC7AywAIAB3AGgAaQBjAGgAIABlAG4AcwB1AHIAZQBzACAAYwBvAHIAcgBlAGMAdAAgAGgAYQBuAGQAbABpAG4AZwAgAG8AZgBcAG4ALwAvACAAIAAgACAAIAAgACAAIABkAGUAZwBlAG4AZQByAGEAdABlACAAcgBpAG4AZwBzACAAKAAxANcATgAsACAATgDXADEALAAgADIA1wBOACwAIABlAHQAYwAuACkALgBcAG4ALwAvACAAIAAgACAAIAAgACIgIABDAGwAbwBjAGsAdwBpAHMAZQAgAHIAbwB0AGEAdABpAG8AbgAgAGkAcwAgAGkAbQBwAGwAZQBtAGUAbgB0AGUAZAAgAGkAbgAgAHQAaABlACAAYwBvAG0AcABhAG4AaQBvAG4AIABmAHUAbgBjAHQAaQBvAG4AIABSAGkAbgBnAFIAbwB0AGEAdABlALsDLgBcAG4ALwAvAFwAbgAvAC8AIAAgAEwAYQBtAGIAZABhAHMAIABjAGEAbABsAGUAZAA6AFwAbgAvAC8AIAAgACAAIAAgACAAUgBpAG4AZwC7AywAIABTAHEAdQBlAGUAegBlALsDXABuAFwAbgBSAGkAbgBnAFIAbwB0AGEAdABlAFIAZQB2ALsDPQBcAG4ATABBAE0AQgBEAEEAKABcAG4AIAAgACAAIABnAHIAaQBkACwAXABuACAAIAAgACAAbABhAHkAZQByACwAXABuACAAIAAgACAAWwByAG8AdABhAHQAaQBvAG4AcwBdACwAXABuAEwARQBUACgAXABuACAAIAAgACAALwAvAFMAZQB0ACAAcgBvAHQAYQB0AGkAbwBuAHMAIABhAG4AZAAgAHYAYQBsAGkAZABhAHQAZQBcAG4AIAAgACAAIAByAG8AdABhAHQAaQBvAG4AcwAsACAAIAAgAEkARgAoAEkAUwBPAE0ASQBUAFQARQBEACgAcgBvAHQAYQB0AGkAbwBuAHMAKQAsADEALAByAG8AdABhAHQAaQBvAG4AcwApACwAXABuACAAIAAgACAASQBuAHYAYQBsAGkAZABSAG8AdAA/ACwAIABPAFIAKABJAFMAVABFAFgAVAAoAHIAbwB0AGEAdABpAG8AbgBzACkALAByAG8AdABhAHQAaQBvAG4AcwAgADwAIAAwACkALABcAG4AXABuACAAIAAgACAALwAvAE0AZQBzAGgAIABnAHIAaQBkAFwAbgAgACAAIAAgAGkALAAgACAAIAAgACAAIAAgACAAIAAgACAATQBHAHIAaQBkALsDKABnAHIAaQBkACkALAAgACAAIAAgACAAagAsACAAIABNAEcAcgBpAGQAuwMoAGcAcgBpAGQALAAxACkALABcAG4AXABuACAAIAAgACAALwAvAE0AYQB4ACAAZABpAG0AZQBuAHMAaQBvAG4AcwBcAG4AIAAgACAAIABoACwAIAAgACAAIAAgACAAIAAgACAAIAAgAFIATwBXAFMAKABnAHIAaQBkACkALAAgACAAIAAgACAAIAAgAHcALAAgACAAQwBPAEwAVQBNAE4AUwAoAGcAcgBpAGQAKQAsAFwAbgBcAG4AIAAgACAAIAAvAC8AUgBpAG4AZwAgAGUAeAB0AHIAYQBjAHQAZQBkAFwAbgAgACAAIAAgAHIAaQBuAGcALAAgACAAIAAgACAAIAAgACAAUgBpAG4AZwC7AygAZwByAGkAZAAsAGwAYQB5AGUAcgAsAFwAIgBcACIAKQAsAFwAbgBcAG4AIAAgACAAIAAvAC8AUgBpAG4AZwAgAHcAaQB0AGgAbwB1AHQAIABwAGEAZABkAGkAbgBnACAAdABvACAAZABlAHQAZQBjAHQAIAAxAEQAIABsAGEAeQBlAHIAcwBcAG4AIAAgACAAIABzAHEAdQBlAGUAegBlAGQALAAgACAAIAAgAFMAcQB1AGUAZQB6AGUAuwMoAHIAaQBuAGcALABcACIAXAAiACkALABcAG4AXABuACAAIAAgACAALwAvAE4AbwAgAHIAbwB0AGEAdABpAG8AbgAgAHMAYwBlAG4AYQByAGkAbwBzAFwAbgAgACAAIAAgAEkAcwAxAEQAPwAsACAAIAAgACAAIAAgACAATwBSACgAUgBPAFcAUwAoAHMAcQB1AGUAZQB6AGUAZAApACAAPQAgADEALABDAE8ATABVAE0ATgBTACgAcwBxAHUAZQBlAHoAZQBkACkAIAA9ACAAMQApACwAXABuACAAIAAgACAAVAB3AG8AXwB4AF8AVAB3AG8ALAAgACAAIABBAE4ARAAoAFIATwBXAFMAKAByAGkAbgBnACkAIAA9ACAAMgAsACAAQwBPAEwAVQBNAE4AUwAoAHIAaQBuAGcAKQAgAD0AIAAyACkALABcAG4AIAAgACAAIAB0AHIAYQB2AGUAcgBzAGUAZAAsACAAIAAgAEkARgAoAFQAdwBvAF8AeABfAFQAdwBvACwAVAByAGEAdgBlAHIAcwBlALsDKAByAGkAbgBnACwAMwApACwARgBBAEwAUwBFACkALABcAG4AXABuACAAIAAgACAASQBGACgASQBuAHYAYQBsAGkAZABSAG8AdAA/ACwAXAAiACMAUgBPAFQAQQBUAEkATwBOAFMAIQBcACIALABcAG4AIAAgACAAIAAgACAAIAAgAEkARgAoAEkAcwAxAEQAPwAsAGcAcgBpAGQALABcAG4AIAAgACAAIAAgACAAIAAgACAAIAAgACAASQBGACgAVAB3AG8AXwB4AF8AVAB3AG8ALAB0AHIAYQB2AGUAcgBzAGUAZAAsAFwAbgBcAG4ATABFAFQAKABcAG4AIAAgACAAIAAvAC8ASQBkAGUAbgB0AGkAZgB5ACAAcgBpAG4AZwAgAHAAYQByAHQAcwAgAGYAbwByACAAaQAvAGoAIABvAGYAZgBzAGUAdABzAFwAbgAgACAAIAAgAG8AYwBjAHUAcABpAGUAZAA/ACwAIABMAEUATgAoAHIAaQBuAGcAKQAgADwAPgAgADAALABcAG4AXABuACAAIAAgACAALwAvAEMAbABvAGMAawB3AGkAcwBlACAAbQBhAHMAawBzAFwAbgAgACAAIAAgAHQAbwBwACwAIAAgACAAIAAgACAAIABvAGMAYwB1AHAAaQBlAGQAPwAgACoAIAAoAGkAIAA9ACAAbABhAHkAZQByACkAIAAqACAAKABqACAAPAA9ACAAdwAgAC0AIABsAGEAeQBlAHIAKQAsAFwAbgAgACAAIAAgAGwAZQBmAHQALAAgACAAIAAgACAAIABvAGMAYwB1AHAAaQBlAGQAPwAgACoAIAAoAGoAIAA9ACAAbABhAHkAZQByACkAIAAqACAAIAAoAGkAIAA+ACAAbABhAHkAZQByACkAIAAqACAAKABpACAAPAA9ACAAaAAgAC0AIABsAGEAeQBlAHIAIAArACAAMQApACwAXABuACAAIAAgACAAcgBpAGcAaAB0ACwAIAAgACAAIAAgAG8AYwBjAHUAcABpAGUAZAA/ACAAKgAgACgAagAgAD0AIAB3ACAALQAgAGwAYQB5AGUAcgAgACsAIAAxACkAIAAqACAAKABpACAAPgA9ACAAbABhAHkAZQByACkAIAAqACAAKABpACAAPAAgAGgAIAAtACAAbABhAHkAZQByACAAKwAgADEAKQAsAFwAbgAgACAAIAAgAGIAbwB0AHQAbwBtACwAIAAgACAAIABvAGMAYwB1AHAAaQBlAGQAPwAgACoAIAAoAGkAIAA9ACAAaAAgAC0AIABsAGEAeQBlAHIAIAArACAAMQApACAAKgAgACgAagAgAD4AIABsAGEAeQBlAHIAKQAgACoAIAAoAGoAIAA8AD0AIAB3ACAALQAgAGwAYQB5AGUAcgAgACsAIAAxACkALABcAG4AXABuACAAIAAgACAALwAvAEwAbwBjAGEAbAAgAG4AYQB2AGkAZwBhAHQAaQBvAG4AIABmAHUAbgBjAHQAaQBvAG4AIACRIZMhkCFcAG4AIAAgACAAIABcAG4AIAAgACAAIABEAGUAYwBpAGQAZQC7AywAIAAgACAATABBAE0AQgBEAEEAKABcAG4AIAAgACAAIAAgACAAIAAgACAAIAAgACAAIAAgACAAIAAgACAAIAAgAGwAbwBnAGkAYwAxACwAdAByAHUAZQAxACwAXABuACAAIAAgACAAIAAgACAAIAAgACAAIAAgACAAIAAgACAAIAAgACAAIABsAG8AZwBpAGMAMgAsAHQAcgB1AGUAMgAsAFwAbgAgACAAIAAgACAAIAAgACAAIAAgACAAIAAgACAAIAAgACAAIAAgACAAbABvAGcAaQBjADMALAB0AHIAdQBlADMALABcAG4AIAAgACAAIAAgACAAIAAgACAAIAAgACAAIAAgACAAIAAgACAAIAAgAGwAbwBnAGkAYwA0ACwAdAByAHUAZQA0ACwAXABuACAAIAAgACAAIAAgACAAIAAgACAAIAAgACAAIAAgACAAIAAgACAAIABmAGEAbABsAGIAYQBjAGsALAAgACAAIAAgACAAIAAgAC8ALwAgADAAIABmAG8AcgAgAG4AbwBuAC0AcgBpAG4AZwAgAGUAbABlAG0AZQBuAHQAcwBcAG4AIAAgACAAIAAgACAAIAAgACAAIAAgACAAIAAgACAAIAAgACAAIAAgAEkARgAoAGwAbwBnAGkAYwAxACwAdAByAHUAZQAxACwASQBGACgAbABvAGcAaQBjADIALAB0AHIAdQBlADIALABJAEYAKABsAG8AZwBpAGMAMwAsAHQAcgB1AGUAMwAsAEkARgAoAGwAbwBnAGkAYwA0ACwAdAByAHUAZQA0ACwAZgBhAGwAbABiAGEAYwBrACkAKQApACkAKQAsAFwAbgBcAG4AIAAgACAAIAAvAC8ASQBuAGQAaQBjAGUAcwBcAG4AIAAgACAAIAByACwAIAAgACAAIAAgACAAIAAgACAAaQAgACsAIABEAGUAYwBpAGQAZQC7AygAdABvAHAALAAwACwAXABuACAAIAAgACAAIAAgACAAIAAgACAAIAAgACAAIAAgACAAIAAgACAAIAAgACAAIAAgACAAIAAgAGIAbwB0AHQAbwBtACwAMAAsAFwAbgAgACAAIAAgACAAIAAgACAAIAAgACAAIAAgACAAIAAgACAAIAAgACAAIAAgACAAIAAgACAAIABsAGUAZgB0ACwALQAxACwAXABuACAAIAAgACAAIAAgACAAIAAgACAAIAAgACAAIAAgACAAIAAgACAAIAAgACAAIAAgACAAIAAgAHIAaQBnAGgAdAAsADEALAAwACkALABcAG4AXABuACAAIAAgACAAYwAsACAAIAAgACAAIAAgACAAIAAgAGoAIAArACAARABlAGMAaQBkAGUAuwMoAHQAbwBwACwAMQAsAFwAbgAgACAAIAAgACAAIAAgACAAIAAgACAAIAAgACAAIAAgACAAIAAgACAAIAAgACAAIAAgACAAIABiAG8AdAB0AG8AbQAsAC0AMQAsAFwAbgAgACAAIAAgACAAIAAgACAAIAAgACAAIAAgACAAIAAgACAAIAAgACAAIAAgACAAIAAgACAAIABsAGUAZgB0ACwAMAAsAFwAbgAgACAAIAAgACAAIAAgACAAIAAgACAAIAAgACAAIAAgACAAIAAgACAAIAAgACAAIAAgACAAIAByAGkAZwBoAHQALAAwACwAMAApACwAXABuAFwAbgAgACAAIAAgAHIAbwB0AGEAdABlAGQALAAgACAAIABJAE4ARABFAFgAKABnAHIAaQBkACwAcgAsAGMAKQAsAFwAbgAgACAAIAAgAEkARgAoAHIAbwB0AGEAdABpAG8AbgBzACAAPQAgADAALABnAHIAaQBkACwAIABSAGkAbgBnAFIAbwB0AGEAdABlAFIAZQB2ALsDKAByAG8AdABhAHQAZQBkACwAbABhAHkAZQByACwAcgBvAHQAYQB0AGkAbwBuAHMAIAAtACAAMQApAFwAbgApACkAKQApACkAKQApADsAXABuAFwAbgBcAG4ALwAvAC0ALQAtAC0ALQAtAC0ALQAtAC0ALQAtAC0ALQAtAC0ALQAtAC0ALQAtAC0ALQAtAC0ALQAtAC0ALQAtAC0ALQAtAC0ALQAtAC0ALQAtAC0ALQAtAC0ALQAtAC0ALQAtAC0ALQAtAC0ALQAtAC0ALQAtAC0ALQAtAC0ALQAtAC0ALQAtAC0ALQAtAC0ALQAtAC0ALQAtAC0ALQAtAC0ALQAtAC0ALQBcAG4ALwAvACAAIABSAGkAbgBnAFIAbwB0AGEAdABlALsDXABuAC8ALwAtAC0ALQAtAC0ALQAtAC0ALQAtAC0ALQAtAC0ALQAtAC0ALQAtAC0ALQAtAC0ALQAtAC0ALQAtAC0ALQAtAC0ALQAtAC0ALQAtAC0ALQAtAC0ALQAtAC0ALQAtAC0ALQAtAC0ALQAtAC0ALQAtAC0ALQAtAC0ALQAtAC0ALQAtAC0ALQAtAC0ALQAtAC0ALQAtAC0ALQAtAC0ALQAtAC0ALQAtAC0AXABuAC8ALwAgACAAQQB1AHQAaABvAHIAOgAgACAAIAAgACAAIABQAGEAdAByAGkAYwBrACAASAAuAFwAbgAvAC8AIAAgAEQAYQB0AGUAOgAgACAAIAAgACAAIAAgACAAMgAvADEAOAAvADIAMAAyADYAXABuAC8ALwAgACAAVgBlAHIAcwBpAG8AbgA6ACAAIAAgACAAIAAxAC4AMABcAG4ALwAvAFwAbgAvAC8AIAAgAEQAZQBzAGMAcgBpAHAAdABpAG8AbgA6AFwAbgAvAC8AIAAgACAAIAAgACAAUgBvAHQAYQB0AGUAcwAgAGEAIABzAGkAbgBnAGwAZQAgAHIAaQBuAGcAIAAoAGwAYQB5AGUAcgApACAAbwBmACAAYQAgADIARAAgAGcAcgBpAGQAIAB3AGgAaQBsAGUAIABwAHIAZQBzAGUAcgB2AGkAbgBnACAAdABoAGUAIABnAHIAaQBkABkgcwAgAHMAaABhAHAAZQAuAFwAbgAvAC8AIAAgACAAIAAgACAAVABoAGUAIABmAHUAbgBjAHQAaQBvAG4AIABhAGMAYwBlAHAAdABzACAAYQAgAHMAbwB1AHIAYwBlACAAZwByAGkAZAAsACAAYQAgAHQAYQByAGcAZQB0ACAAbABhAHkAZQByACAAaQBuAGQAZQB4ACwAIABhAG4AZAAgAGEAbgAgAG8AcAB0AGkAbwBuAGEAbABcAG4ALwAvACAAIAAgACAAIAAgAHIAbwB0AGEAdABpAG8AbgAgAGMAbwB1AG4AdAAuACAAXABuAC8ALwBcAG4ALwAvACAAIABQAGEAcgBhAG0AZQB0AGUAcgBzADoAXABuAC8ALwAgACAAIAAgACAAIABnAHIAaQBkACAAIAAgACAAIAAgACAAIAATICAAUgBlAHEAdQBpAHIAZQBkACAAMgBEACAAYQByAHIAYQB5AFwAbgAvAC8AIAAgACAAIAAgACAAbABhAHkAZQByACAAIAAgACAAIAAgACAAEyAgAEkAbgB0AGUAZwBlAHIAIABlIiAAMQAgAGkAbgBkAGkAYwBhAHQAaQBuAGcAIAB3AGgAaQBjAGgAIAByAGkAbgBnACAAdABvACAAcgBvAHQAYQB0AGUALgBcAG4ALwAvACAAIAAgACAAIAAgACAAIAAgACAAIAAgACAAIAAgACAAIAAgACAAIABGAG8AcgAgAGEAbgAgAE4A1wBNACAAZwByAGkAZAAsACAAbABhAHkAZQByACAAMQAgAGkAcwAgAHQAaABlACAAbwB1AHQAZQByAG0AbwBzAHQAIAByAGkAbgBnAC4AXABuAC8ALwAgACAAIAAgACAAIAAgACAAIAAgACAAIAAgACAAIAAgACAAIAAgACAATABhAHkAZQByAHMAIABlAHgAYwBlAGUAZABpAG4AZwAgAHQAaABlACAAaQBuAG4AZQByAG0AbwBzAHQAIAByAGkAbgBnACAAcgBlAHQAdQByAG4AIAB0AGgAZQAgAGcAcgBpAGQAIAB1AG4AYwBoAGEAbgBnAGUAZAAuAFwAbgAvAC8AIAAgACAAIAAgACAAWwByAG8AdABhAHQAaQBvAG4AcwBdACAAEyAgAE8AcAB0AGkAbwBuAGEAbAAgAG4AdQBtAGIAZQByACAAbwBmACAAYwBsAG8AYwBrAHcAaQBzAGUAIAByAG8AdABhAHQAaQBvAG4AcwAuACAARABlAGYAYQB1AGwAdABzACAAdABvACAAMQAgAGkAZgAgAG8AbQBpAHQAdABlAGQALgBcAG4ALwAvACAAIAAgACAAIAAgACAAIAAgACAAIAAgACAAIAAgACAAIAAgACAAIABOAGUAZwBhAHQAaQB2AGUAIABvAHIAIABuAG8AbgAtAG4AdQBtAGUAcgBpAGMAIAB2AGEAbAB1AGUAcwAgAGEAcgBlACAAdAByAGUAYQB0AGUAZAAgAGEAcwAgAGkAbgB2AGEAbABpAGQALgBcAG4ALwAvAFwAbgAvAC8AIAAgAE4AbwB0AGUAcwA6AFwAbgAvAC8AIAAgACAAIAAgACAAIiAgAFQAaABpAHMAIABmAHUAbgBjAHQAaQBvAG4AIABwAGUAcgBmAG8AcgBtAHMAIABsAGkAdABlAHIAYQBsACAAcgBvAHQAYQB0AGkAbwBuACAAcwB0AGUAcABzADsAIABpAHQAIABkAG8AZQBzACAAbgBvAHQAIABvAHAAdABpAG0AaQB6AGUAIAByAG8AdABhAHQAaQBvAG4AXABuAC8ALwAgACAAIAAgACAAIAAgACAAYwBvAHUAbgB0AHMALgAgAE8AcAB0AGkAbQBpAHoAYQB0AGkAbwBuACAAaQBzACAAaABhAG4AZABsAGUAZAAgAGIAeQAgAHQAaABlACAAUgBvAHQAYQB0AGUAMgBEALsDIAB3AHIAYQBwAHAAZQByAC4AXABuAC8ALwAgACAAIAAgACAAIAAiICAAUgBpAG4AZwAgAGUAeAB0AHIAYQBjAHQAaQBvAG4AIABpAHMAIABwAGUAcgBmAG8AcgBtAGUAZAAgAHYAaQBhACAAUgBpAG4AZwC7AywAIAB3AGgAaQBjAGgAIABlAG4AcwB1AHIAZQBzACAAYwBvAHIAcgBlAGMAdAAgAGgAYQBuAGQAbABpAG4AZwAgAG8AZgBcAG4ALwAvACAAIAAgACAAIAAgACAAIABkAGUAZwBlAG4AZQByAGEAdABlACAAcgBpAG4AZwBzACAAKAAxANcATgAsACAATgDXADEALAAgADIA1wBOACwAIABlAHQAYwAuACkALgBcAG4ALwAvACAAIAAgACAAIAAgACIgIABSAGUAdgBlAHIAcwBlACAAcgBvAHQAYQB0AGkAbwBuACAAaQBzACAAaQBtAHAAbABlAG0AZQBuAHQAZQBkACAAaQBuACAAdABoAGUAIABjAG8AbQBwAGEAbgBpAG8AbgAgAGYAdQBuAGMAdABpAG8AbgAgAFIAaQBuAGcAUgBvAHQAYQB0AGUAUgBlAHYAuwMuAFwAbgAvAC8AXABuAC8ALwAgACAATABhAG0AYgBkAGEAcwAgAGMAYQBsAGwAZQBkADoAXABuAC8ALwAgACAAIAAgACAAIABSAGkAbgBnALsDLAAgAFMAcQB1AGUAZQB6AGUAuwNcAG4AXABuAFwAbgBSAGkAbgBnAFIAbwB0AGEAdABlALsDPQBcAG4ATABBAE0AQgBEAEEAKABcAG4AIAAgACAAIABnAHIAaQBkACwAXABuACAAIAAgACAAbABhAHkAZQByACwAXABuACAAIAAgACAAWwByAG8AdABhAHQAaQBvAG4AcwBdACwAXABuAEwARQBUACgAXABuACAAIAAgACAALwAvAFMAZQB0ACAAcgBvAHQAYQB0AGkAbwBuAHMAIABhAG4AZAAgAHYAYQBsAGkAZABhAHQAZQBcAG4AIAAgACAAIAByAG8AdABhAHQAaQBvAG4AcwAsACAAIAAgAEkARgAoAEkAUwBPAE0ASQBUAFQARQBEACgAcgBvAHQAYQB0AGkAbwBuAHMAKQAsADEALAByAG8AdABhAHQAaQBvAG4AcwApACwAXABuACAAIAAgACAASQBuAHYAYQBsAGkAZABSAG8AdAA/ACwAIABPAFIAKABJAFMAVABFAFgAVAAoAHIAbwB0AGEAdABpAG8AbgBzACkALAByAG8AdABhAHQAaQBvAG4AcwAgADwAIAAwACkALABcAG4AXABuACAAIAAgACAALwAvAE0AZQBzAGgAIABnAHIAaQBkAFwAbgAgACAAIAAgAGkALAAgACAAIAAgACAAIAAgACAAIAAgACAATQBHAHIAaQBkALsDKABnAHIAaQBkACkALAAgACAAIAAgACAAagAsACAAIABNAEcAcgBpAGQAuwMoAGcAcgBpAGQALAAxACkALABcAG4AXABuACAAIAAgACAALwAvAE0AYQB4ACAAZABpAG0AZQBuAHMAaQBvAG4AcwBcAG4AIAAgACAAIABoACwAIAAgACAAIAAgACAAIAAgACAAIAAgAFIATwBXAFMAKABnAHIAaQBkACkALAAgACAAIAAgACAAIAAgAHcALAAgACAAQwBPAEwAVQBNAE4AUwAoAGcAcgBpAGQAKQAsAFwAbgBcAG4AIAAgACAAIAAvAC8AUgBpAG4AZwAgAGUAeAB0AHIAYQBjAHQAZQBkAFwAbgAgACAAIAAgAHIAaQBuAGcALAAgACAAIAAgACAAIAAgACAAUgBpAG4AZwC7AygAZwByAGkAZAAsAGwAYQB5AGUAcgAsAFwAIgBcACIAKQAsAFwAbgBcAG4AIAAgACAAIAAvAC8AUgBpAG4AZwAgAHcAaQB0AGgAbwB1AHQAIABwAGEAZABkAGkAbgBnACAAdABvACAAZABlAHQAZQBjAHQAIAAxAEQAIABsAGEAeQBlAHIAcwBcAG4AIAAgACAAIABzAHEAdQBlAGUAegBlAGQALAAgACAAIAAgAFMAcQB1AGUAZQB6AGUAuwMoAHIAaQBuAGcALABcACIAXAAiACkALABcAG4AXABuACAAIAAgACAALwAvAE4AbwAgAHIAbwB0AGEAdABpAG8AbgAgAHMAYwBlAG4AYQByAGkAbwBzAFwAbgAgACAAIAAgAEkAcwAxAEQAPwAsACAAIAAgACAAIAAgACAATwBSACgAUgBPAFcAUwAoAHMAcQB1AGUAZQB6AGUAZAApACAAPQAgADEALABDAE8ATABVAE0ATgBTACgAcwBxAHUAZQBlAHoAZQBkACkAIAA9ACAAMQApACwAXABuACAAIAAgACAAVAB3AG8AXwB4AF8AVAB3AG8ALAAgACAAIABBAE4ARAAoAFIATwBXAFMAKAByAGkAbgBnACkAIAA9ACAAMgAsACAAQwBPAEwAVQBNAE4AUwAoAHIAaQBuAGcAKQAgAD0AIAAyACkALABcAG4AIAAgACAAIAB0AHIAYQB2AGUAcgBzAGUAZAAsACAAIAAgAEkARgAoAFQAdwBvAF8AeABfAFQAdwBvACwAVAByAGEAdgBlAHIAcwBlALsDKAByAGkAbgBnACwAMwApACwARgBBAEwAUwBFACkALABcAG4AXABuACAAIAAgACAASQBGACgASQBuAHYAYQBsAGkAZABSAG8AdAA/ACwAXAAiACMAUgBPAFQAQQBUAEkATwBOAFMAIQBcACIALABcAG4AIAAgACAAIAAgACAAIAAgAEkARgAoAEkAcwAxAEQAPwAsAGcAcgBpAGQALABcAG4AIAAgACAAIAAgACAAIAAgACAAIAAgACAASQBGACgAVAB3AG8AXwB4AF8AVAB3AG8ALAB0AHIAYQB2AGUAcgBzAGUAZAAsAFwAbgBcAG4ATABFAFQAKABcAG4AIAAgACAAIAAvAC8ASQBkAGUAbgB0AGkAZgB5ACAAcgBpAG4AZwAgAHAAYQByAHQAcwAgAGYAbwByACAAaQAvAGoAIABvAGYAZgBzAGUAdABzAFwAbgAgACAAIAAgAG8AYwBjAHUAcABpAGUAZAA/ACwAIABMAEUATgAoAHIAaQBuAGcAKQAgADwAPgAgADAALABcAG4AXABuACAAIAAgACAALwAvAEMAbABvAGMAawB3AGkAcwBlACAAbQBhAHMAawBzAFwAbgAgACAAIAAgAHQAbwBwACwAIAAgACAAIAAgACAAIABvAGMAYwB1AHAAaQBlAGQAPwAgACoAIAAoAGkAIAA9ACAAbABhAHkAZQByACkAIAAqACAAKABqACAAPgAgAGwAYQB5AGUAcgApACAAKgAgACgAagAgADwAPQAgAHcAIAAtACAAbABhAHkAZQByACAAKwAgADEAKQAsAFwAbgAgACAAIAAgAGwAZQBmAHQALAAgACAAIAAgACAAIABvAGMAYwB1AHAAaQBlAGQAPwAgACoAIAAoAGoAIAA9ACAAbABhAHkAZQByACkAIAAqACAAKABpACAAPgA9ACAAbABhAHkAZQByACkAIAAqACAAKABpACAAPAAgAGgAIAAtACAAbABhAHkAZQByACAAKwAgADEAKQAsAFwAbgAgACAAIAAgAHIAaQBnAGgAdAAsACAAIAAgACAAIABvAGMAYwB1AHAAaQBlAGQAPwAgACoAIAAoAGoAIAA9ACAAdwAgAC0AIABsAGEAeQBlAHIAIAArACAAMQApACAAKgAgACgAaQAgAD4APQAgAGwAYQB5AGUAcgAgACsAIAAxACkAIAAqACAAKABpACAAPAA9ACAAaAAgAC0AIABsAGEAeQBlAHIAIAArACAAMQApACwAXABuACAAIAAgACAAYgBvAHQAdABvAG0ALAAgACAAIAAgAG8AYwBjAHUAcABpAGUAZAA/ACAAKgAgACgAaQAgAD0AIABoACAALQAgAGwAYQB5AGUAcgAgACsAIAAxACkAIAAqACAAKABqACAAPgA9ACAAbABhAHkAZQByACkAIAAqACAAKABqACAAPAAgAHcAIAAtACAAbABhAHkAZQByACAAKwAgADEAKQAsAFwAbgBcAG4AIAAgACAAIAAvAC8ATABvAGMAYQBsACAAbgBhAHYAaQBnAGEAdABpAG8AbgAgAGYAdQBuAGMAdABpAG8AbgAgAJEhkyGQIVwAbgAgACAAIAAgAFwAbgAgACAAIAAgAEQAZQBjAGkAZABlALsDLAAgACAAIABMAEEATQBCAEQAQQAoAFwAbgAgACAAIAAgACAAIAAgACAAIAAgACAAIAAgACAAIAAgACAAIAAgACAAbABvAGcAaQBjADEALAB0AHIAdQBlADEALABcAG4AIAAgACAAIAAgACAAIAAgACAAIAAgACAAIAAgACAAIAAgACAAIAAgAGwAbwBnAGkAYwAyACwAdAByAHUAZQAyACwAXABuACAAIAAgACAAIAAgACAAIAAgACAAIAAgACAAIAAgACAAIAAgACAAIABsAG8AZwBpAGMAMwAsAHQAcgB1AGUAMwAsAFwAbgAgACAAIAAgACAAIAAgACAAIAAgACAAIAAgACAAIAAgACAAIAAgACAAbABvAGcAaQBjADQALAB0AHIAdQBlADQALABcAG4AIAAgACAAIAAgACAAIAAgACAAIAAgACAAIAAgACAAIAAgACAAIAAgAGYAYQBsAGwAYgBhAGMAawAsACAAIAAgACAAIAAgACAALwAvACAAMAAgAGYAbwByACAAbgBvAG4ALQByAGkAbgBnACAAZQBsAGUAbQBlAG4AdABzAFwAbgAgACAAIAAgACAAIAAgACAAIAAgACAAIAAgACAAIAAgACAAIAAgACAASQBGACgAbABvAGcAaQBjADEALAB0AHIAdQBlADEALABJAEYAKABsAG8AZwBpAGMAMgAsAHQAcgB1AGUAMgAsAEkARgAoAGwAbwBnAGkAYwAzACwAdAByAHUAZQAzACwASQBGACgAbABvAGcAaQBjADQALAB0AHIAdQBlADQALABmAGEAbABsAGIAYQBjAGsAKQApACkAKQApACwAXABuAFwAbgAgACAAIAAgAC8ALwBJAG4AZABpAGMAZQBzAFwAbgAgACAAIAAgAHIALAAgACAAIAAgACAAIAAgACAAIABpACAAKwAgAEQAZQBjAGkAZABlALsDKAB0AG8AcAAsADAALABcAG4AIAAgACAAIAAgACAAIAAgACAAIAAgACAAIAAgACAAIAAgACAAIAAgACAAIAAgACAAIAAgACAAYgBvAHQAdABvAG0ALAAwACwAXABuACAAIAAgACAAIAAgACAAIAAgACAAIAAgACAAIAAgACAAIAAgACAAIAAgACAAIAAgACAAIAAgAGwAZQBmAHQALAAxACwAXABuACAAIAAgACAAIAAgACAAIAAgACAAIAAgACAAIAAgACAAIAAgACAAIAAgACAAIAAgACAAIAAgAHIAaQBnAGgAdAAsAC0AMQAsADAAKQAsAFwAbgBcAG4AIAAgACAAIABjACwAIAAgACAAIAAgACAAIAAgACAAagAgACsAIABEAGUAYwBpAGQAZQC7AygAdABvAHAALAAtADEALABcAG4AIAAgACAAIAAgACAAIAAgACAAIAAgACAAIAAgACAAIAAgACAAIAAgACAAIAAgACAAIAAgACAAYgBvAHQAdABvAG0ALAAxACwAXABuACAAIAAgACAAIAAgACAAIAAgACAAIAAgACAAIAAgACAAIAAgACAAIAAgACAAIAAgACAAIAAgAGwAZQBmAHQALAAwACwAXABuACAAIAAgACAAIAAgACAAIAAgACAAIAAgACAAIAAgACAAIAAgACAAIAAgACAAIAAgACAAIAAgAHIAaQBnAGgAdAAsADAALAAwACkALABcAG4AXABuACAAIAAgACAAcgBvAHQAYQB0AGUAZAAsACAAIAAgAEkATgBEAEUAWAAoAGcAcgBpAGQALAByACwAYwApACwAXABuACAAIAAgACAASQBGACgAcgBvAHQAYQB0AGkAbwBuAHMAIAA9ACAAMAAsAGcAcgBpAGQALABSAGkAbgBnAFIAbwB0AGEAdABlALsDKAByAG8AdABhAHQAZQBkACwAbABhAHkAZQByACwAcgBvAHQAYQB0AGkAbwBuAHMAIAAtACAAMQApACkAXABuACkAKQApACkAKQApADsAXABuAFwAbgBcAG4ALwAvAC0ALQAtAC0ALQAtAC0ALQAtAC0ALQAtAC0ALQAtAC0ALQAtAC0ALQAtAC0ALQAtAC0ALQAtAC0ALQAtAC0ALQAtAC0ALQAtAC0ALQAtAC0ALQAtAC0ALQAtAC0ALQAtAC0ALQAtAC0ALQAtAC0ALQAtAC0ALQAtAC0ALQAtAC0ALQAtAC0ALQAtAC0ALQAtAC0ALQAtAC0ALQAtAC0ALQAtAC0ALQBcAG4ALwAvACAAIABSAGkAbgBnALsDXABuAC8ALwAtAC0ALQAtAC0ALQAtAC0ALQAtAC0ALQAtAC0ALQAtAC0ALQAtAC0ALQAtAC0ALQAtAC0ALQAtAC0ALQAtAC0ALQAtAC0ALQAtAC0ALQAtAC0ALQAtAC0ALQAtAC0ALQAtAC0ALQAtAC0ALQAtAC0ALQAtAC0ALQAtAC0ALQAtAC0ALQAtAC0ALQAtAC0ALQAtAC0ALQAtAC0ALQAtAC0ALQAtAC0AXABuAC8ALwAgACAAQQB1AHQAaABvAHIAOgAgACAAIAAgACAAIABQAGEAdAByAGkAYwBrACAASAAuAFwAbgAvAC8AIAAgAEQAYQB0AGUAOgAgACAAIAAgACAAIAAgACAAMgAvADEANwAvADIAMAAyADYAXABuAC8ALwAgACAAVgBlAHIAcwBpAG8AbgA6ACAAIAAgACAAIAAxAC4AMABcAG4ALwAvAFwAbgAvAC8AIAAgAEQAZQBzAGMAcgBpAHAAdABpAG8AbgA6AFwAbgAvAC8AIAAgACAAIAAgACAARQB4AHQAcgBhAGMAdABzACAAYQAgAHMAaQBuAGcAbABlACAAcgBpAG4AZwAgACgAbABhAHkAZQByACkAIABmAHIAbwBtACAAYQAgADIARAAgAGcAcgBpAGQAIAB3AGgAaQBsAGUAIABwAHIAZQBzAGUAcgB2AGkAbgBnACAAdABoAGUAIABvAHYAZQByAGEAbABsAFwAbgAvAC8AIAAgACAAIAAgACAAcwBoAGEAcABlACAAbwBmACAAdABoAGUAIABnAHIAaQBkAC4AIABUAGgAZQAgAHIAaQBuAGcAIABpAHMAIABpAGQAZQBuAHQAaQBmAGkAZQBkACAAYgB5ACAAaQB0AHMAIABsAGEAeQBlAHIAIABpAG4AZABlAHgALAAgAHcAaABlAHIAZQAgAGwAYQB5AGUAcgAgADEAXABuAC8ALwAgACAAIAAgACAAIABjAG8AcgByAGUAcwBwAG8AbgBkAHMAIAB0AG8AIAB0AGgAZQAgAG8AdQB0AGUAcgBtAG8AcwB0ACAAcABlAHIAaQBtAGUAdABlAHIAIABhAG4AZAAgAGgAaQBnAGgAZQByACAAbABhAHkAZQByAHMAIABtAG8AdgBlACAAaQBuAHcAYQByAGQALgAgAFQAaABlAFwAbgAvAC8AIAAgACAAIAAgACAAcgBlAHQAdQByAG4AZQBkACAAYQByAHIAYQB5ACAAbQBhAHQAYwBoAGUAcwAgAHQAaABlACAAZABpAG0AZQBuAHMAaQBvAG4AcwAgAG8AZgAgAHQAaABlACAAaQBuAHAAdQB0ACAAZwByAGkAZAAsACAAdwBpAHQAaAAgAGEAbABsACAAbgBvAG4ALQByAGkAbgBnAFwAbgAvAC8AIAAgACAAIAAgACAAYwBlAGwAbABzACAAZgBpAGwAbABlAGQAIAB1AHMAaQBuAGcAIAB0AGgAZQAgAHMAcABlAGMAaQBmAGkAZQBkACAAZgBpAGwAbAAgAHYAYQBsAHUAZQAuAFwAbgAvAC8AXABuAC8ALwAgACAAUABhAHIAYQBtAGUAdABlAHIAcwA6AFwAbgAvAC8AIAAgACAAIAAgACAAZwByAGkAZAAgACAAIAAgACAAIAAgACAAIAATICAAUgBlAHEAdQBpAHIAZQBkACAAMgBEACAAYQByAHIAYQB5ACAAcgBlAHAAcgBlAHMAZQBuAHQAaQBuAGcAIAB0AGgAZQAgAGYAdQBsAGwAIABnAHIAaQBkAC4AXABuAC8ALwAgACAAIAAgACAAIABsAGEAeQBlAHIAIAAgACAAIAAgACAAIAAgABMgIABJAG4AdABlAGcAZQByACAAZSIgADEAIABzAHAAZQBjAGkAZgB5AGkAbgBnACAAdwBoAGkAYwBoACAAcgBpAG4AZwAgAHQAbwAgAGUAeAB0AHIAYQBjAHQALgBcAG4ALwAvACAAIAAgACAAIAAgACAAIAAgACAAIAAgACAAIAAgACAAIAAgACAAIAAgAEYAbwByACAAYQBuACAATgDXAE0AIABnAHIAaQBkACwAIABsAGEAeQBlAHIAIAAxACAAaQBzACAAdABoAGUAIABvAHUAdABlAHIAbQBvAHMAdAAgAHIAaQBuAGcALgBcAG4ALwAvACAAIAAgACAAIAAgACAAIAAgACAAIAAgACAAIAAgACAAIAAgACAAIAAgAEwAYQB5AGUAcgBzACAAZQB4AGMAZQBlAGQAaQBuAGcAIAB0AGgAZQAgAGkAbgBuAGUAcgBtAG8AcwB0ACAAcgBpAG4AZwAgAHIAZQB0AHUAcgBuACAAYQBuACAAZQBtAHAAdAB5ACAAYQByAHIAYQB5AC4AXABuAC8ALwAgACAAIAAgACAAIABbAGYAaQBsAGwAXwB2AGEAbAB1AGUAXQAgABMgIABPAHAAdABpAG8AbgBhAGwAIABzAGMAYQBsAGEAcgAgAHUAcwBlAGQAIAB0AG8AIABmAGkAbABsACAAYQBsAGwAIABuAG8AbgAtAHIAaQBuAGcAIABjAGUAbABsAHMAIABpAG4AIAB0AGgAZQAgAG8AdQB0AHAAdQB0AC4AXABuAC8ALwAgACAAIAAgACAAIAAgACAAIAAgACAAIAAgACAAIAAgACAAIAAgACAAIABEAGUAZgBhAHUAbAB0AHMAIAB0AG8AIAAwACAAaQBmACAAbwBtAGkAdAB0AGUAZAAuAFwAbgAvAC8AXABuAC8ALwAgACAATgBvAHQAZQBzADoAXABuAC8ALwAgACAAIAAgACAAIAAiICAAVABoAGkAcwAgAGYAdQBuAGMAdABpAG8AbgAgAHAAZQByAGYAbwByAG0AcwAgAG4AbwAgAHIAbwB0AGEAdABpAG8AbgA7ACAAaQB0ACAAbwBuAGwAeQAgAGUAeAB0AHIAYQBjAHQAcwAgAHQAaABlACAAcgBpAG4AZwAgAG0AYQBzAGsALgBcAG4ALwAvACAAIAAgACAAIAAgACIgIABEAGUAZwBlAG4AZQByAGEAdABlACAAcgBpAG4AZwBzACAAKAAxANcATgAsACAATgDXADEALAAgADIA1wBOACwAIABlAHQAYwAuACkAIABhAHIAZQAgAHAAcgBlAHMAZQByAHYAZQBkACAAZQB4AGEAYwB0AGwAeQAgAGEAcwAgAGUAeAB0AHIAYQBjAHQAZQBkAC4AXABuAC8ALwAgACAAIAAgACAAIAAiICAAUgBpAG4AZwBSAG8AdABhAHQAZQC7AyAAYQBuAGQAIABSAGkAbgBnAFIAbwB0AGEAdABlAFIAZQB2ALsDIAByAGUAbAB5ACAAbwBuACAAUgBpAG4AZwC7AyAAdABvACAAYwBvAHIAcgBlAGMAdABsAHkAIABpAGQAZQBuAHQAaQBmAHkAIAByAGkAbgBnAFwAbgAvAC8AIAAgACAAIAAgACAAIAAgAGIAbwB1AG4AZABhAHIAaQBlAHMAIABiAGUAZgBvAHIAZQAgAHAAZQByAGYAbwByAG0AaQBuAGcAIAByAG8AdABhAHQAaQBvAG4ALgBcAG4ALwAvACAAIAAgACAAIAAgACIgIABUAGgAZQAgAG8AdQB0AHAAdQB0ACAAYQBsAHcAYQB5AHMAIABtAGEAdABjAGgAZQBzACAAdABoAGUAIABkAGkAbQBlAG4AcwBpAG8AbgBzACAAbwBmACAAdABoAGUAIABpAG4AcAB1AHQAIABnAHIAaQBkAC4AXABuAC8ALwBcAG4ALwAvACAAIABVAHMAZQBkACAAYgB5ADoAXABuAC8ALwAgACAAIAAgACAAIABSAGkAbgBnAFIAbwB0AGEAdABlALsDLAAgAFIAaQBuAGcAUgBvAHQAYQB0AGUAUgBlAHYAuwNcAG4AXABuAFwAbgBSAGkAbgBnALsDPQBcAG4ATABBAE0AQgBEAEEAKABcAG4AIAAgACAAIABnAHIAaQBkACwAXABuACAAIAAgACAAbABhAHkAZQByACwAXABuACAAIAAgACAAWwBmAGkAbABsAF8AdgBhAGwAdQBlAF0ALABcAG4AXABuAEwARQBUACgAXABuACAAIAAgACAALwAvAEQAaQBtAGUAbgBzAGkAbwBuAHMAXABuACAAIAAgACAAaAAsACAAIABSAE8AVwBTACgAZwByAGkAZAApACwAIAAgACAAIAAgACAAIAAgACAAdwAsACAAIABDAE8ATABVAE0ATgBTACgAZwByAGkAZAApACwAXABuAFwAbgAgACAAIAAgAC8ALwBWAGEAbABpAGQAYQB0AGkAbwBuACAAYwBoAGUAYwBrAFwAbgAgACAAIAAgAEkAcwBTAGMAYQBsAGEAcgA/ACwAIAAgACAAIAAgAEEATgBEACgAaAAgAD0AIAAxACwAIAB3ACAAPQAgADEAKQAsAFwAbgAgACAAIAAgAEkAcwAxAEQAPwAsACAAIAAgACAAIAAgACAAIAAgAE8AUgAoAGgAIAA9ACAAMQAsACAAdwAgAD0AIAAxACkALABcAG4AIAAgACAAIABJAG4AdgBhAGwAaQBkAEwAYQB5AGUAcgA/ACwAIABPAFIAKABJAFMAVABFAFgAVAAoAGwAYQB5AGUAcgApACwAbABhAHkAZQByACAAPAA9ACAAMAApACwAXABuACAAIAAgACAATQBhAHgATABhAHkAZQByACwAIAAgACAAIAAgACAASQBOAFQAKAAoAE0ASQBOACgAaAAsAHcAKQAgACsAIAAxACkAIAAvACAAMgApACwAXABuAFwAbgAgACAAIAAgAC8ALwBMAG8AZwBpAGMAIABnAGEAdABlAFwAbgAgACAAIAAgAEkARgAoAEkAcwBTAGMAYQBsAGEAcgA/ACwAZwByAGkAZAAsAFwAbgAgACAAIAAgACAAIAAgACAASQBGACgASQBzADEARAA/ACwAXAAiACMAMQBEAC0AQQBSAFIAQQBZACEAXAAiACwAXABuACAAIAAgACAAIAAgACAAIAAgACAAIAAgAEkARgAoAEkAbgB2AGEAbABpAGQATABhAHkAZQByAD8ALABcACIAIwBMAEEAWQBFAFIAIQBcACIALABcAG4AIAAgACAAIAAgACAAIAAgACAAIAAgACAAIAAgACAAIABJAEYAKABMAGEAeQBlAHIAIAA+ACAATQBhAHgATABhAHkAZQByACwAXAAiACMATQBBAFgALQBMAEEAWQBFAFIAOgAgAFwAIgAmAE0AYQB4AEwAYQB5AGUAcgAsAFwAbgBcAG4ATABFAFQAKABcAG4AIAAgACAAIAAvAC8ATwBwAHQAaQBvAG4AYQBsACAAZgBpAGwAbAAgAHYAYQBsAHUAZQBcAG4AIAAgACAAIABmAGkAbABsAF8AdgBhAGwAdQBlACwAIABJAEYAKABJAFMATwBNAEkAVABUAEUARAAoAGYAaQBsAGwAXwB2AGEAbAB1AGUAKQAsADAALABmAGkAbABsAF8AdgBhAGwAdQBlACkALABcAG4AXABuACAAIAAgACAALwAvAE0AZQBzAGgAIABnAHIAaQBkAFwAbgAgACAAIAAgAGkALAAgACAATQBHAHIAaQBkALsDKABnAHIAaQBkACkALAAgACAAIABqACwAIAAgAE0ARwByAGkAZAC7AygAZwByAGkAZAAsADEAKQAsAFwAbgBcAG4AIAAgACAAIAAvAC8ARQBkAGcAZQBzACAAbwBmACAAcgBpAG4AZwBcAG4AIAAgACAAIAB0AG8AcAAsACAAIAAgACAAKAAoAGkAIAA9ACAAbABhAHkAZQByACkAIAArACAAKABpACAAPQAgADEAIAArACAAaAAgAC0AIABsAGEAeQBlAHIAKQApACAAKgBcAG4AIAAgACAAIAAgACAAIAAgACAAIAAgACAAKAAoAGoAIAA+ACAAbABhAHkAZQByACAALQAgADEAKQAgACoAIAAoAGoAIAA8AD0AIAAxACAAKwAgAHcAIAAtACAAbABhAHkAZQByACkAKQAgACwAXABuACAAIAAgACAAXABuACAAIAAgACAAcwBpAGQAZQAsACAAIAAgACgAKABqACAAPQAgAGwAYQB5AGUAcgApACAAKwAgACgAagAgAD0AIAAxACAAKwAgAHcAIAAtACAAbABhAHkAZQByACkAKQAgACoAXABuACAAIAAgACAAIAAgACAAIAAgACAAIAAgACgAKABpACAAPgAgAGwAYQB5AGUAcgAgAC0AIAAxACkAIAAqACAAKABpACAAPAA9ACAAMQAgACsAIABoACAALQAgAGwAYQB5AGUAcgApACkALABcAG4AIAAgACAAIABcAG4AIAAgACAAIAAvAC8AIAAxAC8AMAAgAHIAaQBuAGcAIABtAGEAcwBrAFwAbgAgACAAIAAgAG0AYQBzAGsALAAgACAAIABTAEkARwBOACgAdABvAHAAIAArACAAcwBpAGQAZQApACwAXABuACAAIAAgACAAZgBpAG4AYQBsACwAIAAgAEkARgAoAG0AYQBzAGsALABnAHIAaQBkACwAZgBpAGwAbABfAHYAYQBsAHUAZQApACwAXABuACAAIAAgACAAZgBpAG4AYQBsAFwAbgBcAG4AKQApACkAKQApACkAKQA7AFwAbgBcAG4AXABuAC8ALwAtAC0ALQBVAHQAaQBsAGkAdABpAGUAcwAtAC0ALQBcAG4AXABuAFwAbgAvAC8ALQAtAC0ALQAtAC0ALQAtAC0ALQAtAC0ALQAtAC0ALQAtAC0ALQAtAC0ALQAtAC0ALQAtAC0ALQAtAC0ALQAtAC0ALQAtAC0ALQAtAC0ALQAtAC0ALQAtAC0ALQAtAC0ALQAtAC0ALQAtAC0ALQAtAC0ALQAtAC0ALQAtAC0ALQAtAC0ALQAtAC0ALQAtAC0ALQAtAC0ALQAtAC0ALQAtAC0ALQAtAFwAbgAvAC8AIAAgAE0ARwByAGkAZAC7A1wAbgAvAC8ALQAtAC0ALQAtAC0ALQAtAC0ALQAtAC0ALQAtAC0ALQAtAC0ALQAtAC0ALQAtAC0ALQAtAC0ALQAtAC0ALQAtAC0ALQAtAC0ALQAtAC0ALQAtAC0ALQAtAC0ALQAtAC0ALQAtAC0ALQAtAC0ALQAtAC0ALQAtAC0ALQAtAC0ALQAtAC0ALQAtAC0ALQAtAC0ALQAtAC0ALQAtAC0ALQAtAC0ALQAtAFwAbgAvAC8AIAAgAEEAdQB0AGgAbwByADoAIAAgACAAIAAgAFAAYQB0AHIAaQBjAGsAIABIAC4AXABuAC8ALwAgACAARABhAHQAZQA6ACAAIAAgACAAIAAgACAAMgAwADIANgARIDAAMgARIDAAOQBcAG4ALwAvACAAIABWAGUAcgBzAGkAbwBuADoAIAAgACAAIAAxAC4AMABcAG4ALwAvAFwAbgAvAC8AIAAgAEQAZQBzAGMAcgBpAHAAdABpAG8AbgA6AFwAbgAvAC8AIAAgACAAIAAgACAARwBlAG4AZQByAGEAdABlAHMAIAByAG8AdwARIGkAbgBkAGUAeAAgAG8AcgAgAGMAbwBsAHUAbQBuABEgaQBuAGQAZQB4ACAAZwByAGkAZABzACAAbQBhAHQAYwBoAGkAbgBnACAAdABoAGUAIABzAGgAYQBwAGUAIABvAGYAIABhACAAcwB1AHAAcABsAGkAZQBkAFwAbgAvAC8AIAAgACAAIAAgACAAYQByAHIAYQB5AC4AIABUAGgAaQBzACAAaQBzACAAdABoAGUAIABFAHgAYwBlAGwAIABlAHEAdQBpAHYAYQBsAGUAbgB0ACAAbwBmACAATQBBAFQATABBAEIAGSBzACAAbQBlAHMAaABnAHIAaQBkACAAbwByACAATgB1AG0AUAB5ABkgcwAgAGkAbgBkAGkAYwBlAHMALgBcAG4ALwAvACAAIAAgACAAIAAgAEIAeQAgAGQAZQBmAGEAdQBsAHQALAAgAE0ARwByAGkAZAC7AyAAcgBlAHQAdQByAG4AcwAgAHIAbwB3ACAAaQBuAGQAaQBjAGUAcwAuACAAVwBoAGUAbgAgAHQAaABlACAAbwBwAHQAaQBvAG4AYQBsACAAcABhAHIAYQBtAGUAdABlAHIAIABpAHMAIABUAFIAVQBFACwAXABuAC8ALwAgACAAIAAgACAAIABpAHQAIAByAGUAdAB1AHIAbgBzACAAYwBvAGwAdQBtAG4AIABpAG4AZABpAGMAZQBzACAAaQBuAHMAdABlAGEAZAAuAFwAbgAvAC8AXABuAC8ALwAgACAAUABhAHIAYQBtAGUAdABlAHIAcwA6AFwAbgAvAC8AIAAgACAAIAAgACAAZwByAGkAZAAgACAAIAAgACAAIAAgACAAEyAgAEEAIAAxAEQAIABvAHIAIAAyAEQAIABhAHIAcgBhAHkAIAB3AGgAbwBzAGUAIABkAGkAbQBlAG4AcwBpAG8AbgBzACAAZABlAHQAZQByAG0AaQBuAGUAIAB0AGgAZQAgAG8AdQB0AHAAdQB0ACAAcwBpAHoAZQAuAFwAbgAvAC8AIAAgACAAIAAgACAAWwBjAG8AbABfAGkAbgBkAGUAeABdACAAEyAgAEkAZgAgAFQAUgBVAEUALAAgAHIAZQB0AHUAcgBuACAAYwBvAGwAdQBtAG4AIABpAG4AZABpAGMAZQBzAC4AIABJAGYAIABvAG0AaQB0AHQAZQBkACwAIAByAGUAdAB1AHIAbgAgAHIAbwB3ACAAaQBuAGQAaQBjAGUAcwAuAFwAbgAvAC8AXABuAC8ALwAgACAARQB4AGEAbQBwAGwAZQA6AFwAbgAvAC8AIAAgACAAIAAgACAASQBuAHAAdQB0ACAAZwByAGkAZAA6AFwAbgAvAC8AIAAgACAAIAAgACAAIAAgACAAIAB7ADEALAAyACwAMwA7AFwAbgAvAC8AIAAgACAAIAAgACAAIAAgACAAIAAgADQALAA1ACwANgA7AFwAbgAvAC8AIAAgACAAIAAgACAAIAAgACAAIAAgADcALAA4ACwAOQB9AFwAbgAvAC8AXABuAC8ALwAgACAAIAAgACAAIAA9AE0ARwByAGkAZAC7AygAZwByAGkAZAApAFwAbgAvAC8AIAAgACAAIAAgACAAIAAgACAAIAB7ADEALAAxACwAMQA7AFwAbgAvAC8AIAAgACAAIAAgACAAIAAgACAAIAAgADIALAAyACwAMgA7AFwAbgAvAC8AIAAgACAAIAAgACAAIAAgACAAIAAgADMALAAzACwAMwB9AFwAbgAvAC8AXABuAC8ALwAgACAAIAAgACAAIAA9AE0ARwByAGkAZAC7AygAZwByAGkAZAAsACAAVABSAFUARQApAFwAbgAvAC8AIAAgACAAIAAgACAAIAAgACAAIAB7ADEALAAyACwAMwA7AFwAbgAvAC8AIAAgACAAIAAgACAAIAAgACAAIAAgADEALAAyACwAMwA7AFwAbgAvAC8AIAAgACAAIAAgACAAIAAgACAAIAAgADEALAAyACwAMwB9AFwAbgAvAC8AXABuAC8ALwAgACAATgBvAHQAZQBzADoAXABuAC8ALwAgACAAIAAgACAAIAAiICAAVQBzAGUAcwAgAFIAZQBzAGkAegBlALsDIAB0AG8AIABiAHIAbwBhAGQAYwBhAHMAdAAgAFMARQBRAFUARQBOAEMARQAgAHYAZQBjAHQAbwByAHMAIABhAGMAcgBvAHMAcwAgAHQAaABlACAAZwByAGkAZAAgAGQAaQBtAGUAbgBzAGkAbwBuAHMALgBcAG4ALwAvACAAIAAgACAAIAAgACIgIABXAG8AcgBrAHMAIABmAG8AcgAgAGIAbwB0AGgAIAAxAEQAIABhAG4AZAAgADIARAAgAGEAcgByAGEAeQBzAC4AXABuAC8ALwAgACAAIAAgACAAIAAiICAATwB1AHQAcAB1AHQAIABhAGwAdwBhAHkAcwAgAG0AYQB0AGMAaABlAHMAIAB0AGgAZQAgAGcAZQBvAG0AZQB0AHIAeQAgAG8AZgAgAHQAaABlACAAaQBuAHAAdQB0ACAAZwByAGkAZAAuAFwAbgAvAC8ALQAtAC0ALQAtAC0ALQAtAC0ALQAtAC0ALQAtAC0ALQAtAC0ALQAtAC0ALQAtAC0ALQAtAC0ALQAtAC0ALQAtAC0ALQAtAC0ALQAtAC0ALQAtAC0ALQAtAC0ALQAtAC0ALQAtAC0ALQAtAC0ALQAtAC0ALQAtAC0ALQAtAC0ALQAtAC0ALQAtAC0ALQAtAC0ALQAtAC0ALQAtAC0ALQAtAC0ALQAtAFwAbgBcAG4AXABuAFwAbgBNAEcAcgBpAGQAuwM9AFwAbgBMAEEATQBCAEQAQQAoAFwAbgAgACAAIAAgAGcAcgBpAGQALABbAGMAbwBsAF8AaQBuAGQAZQB4AF0ALABcAG4AXABuAEwARQBUACgAXABuACAAIAAgACAALwAvAFIAZQB0AHUAcgBuACAAbQBvAGQAZQBcAG4AIAAgACAAIABSAG8AdwBJAGQAeAA/ACwAIAAgACAAIABJAFMATwBNAEkAVABUAEUARAAoAGMAbwBsAF8AaQBuAGQAZQB4ACkALABcAG4AXABuACAAIAAgACAALwAvAEcAcgBpAGQAIABkAGkAbQBlAG4AcwBpAG8AbgBzAFwAbgAgACAAIAAgAGgALAAgACAAIAAgACAAIAAgACAAIAAgAFIATwBXAFMAKABnAHIAaQBkACkALAAgAHcALAAgACAAQwBPAEwAVQBNAE4AUwAoAGcAcgBpAGQAKQAsAFwAbgAgACAAIAAgAFwAbgAgACAAIAAgAC8ALwBEAGUAZgBlAHIAcgBlAGQAIABpAG4AZABlAHgAIABnAHIAaQBkAHMAXABuACAAIAAgACAAaQAsACAAIAAgACAAIAAgACAAIAAgACAATABBAE0AQgBEAEEAKABSAGUAcwBpAHoAZQC7AygAUwBFAFEAVQBFAE4AQwBFACgAaAApACwALAB3ACkAKQAsAFwAbgAgACAAIAAgAGoALAAgACAAIAAgACAAIAAgACAAIAAgAEwAQQBNAEIARABBACgAUgBlAHMAaQB6AGUAuwMoAFMARQBRAFUARQBOAEMARQAoACwAdwApACwAaAApACkALABcAG4AIAAgACAAIABcAG4AIAAgACAAIAAvAC8AUwBlAGwAZQBjAHQAIAByAG8AdwAgAG8AcgAgAGMAbwBsAHUAbQBuACAAaQBuAGQAZQB4ACAAZwByAGkAZABcAG4AIAAgACAAIABpAGQAeAAsACAAIAAgACAAIAAgACAAIABJAEYAKABSAG8AdwBJAGQAeAA/ACwAaQAoACkALABqACgAKQApACwAXABuACAAIAAgACAAaQBkAHgAXABuAFwAbgApACkAOwBcAG4AXABuAC8ALwAtAC0ALQAtAC0ALQAtAC0ALQAtAC0ALQAtAC0ALQAtAC0ALQAtAC0ALQAtAC0ALQAtAC0ALQAtAC0ALQAtAC0ALQAtAC0ALQAtAC0ALQAtAC0ALQAtAC0ALQAtAC0ALQAtAC0ALQAtAC0ALQAtAC0ALQAtAC0ALQAtAC0ALQAtAC0ALQAtAC0ALQAtAC0ALQAtAC0ALQAtAC0ALQAtAC0ALQAtAC0AXABuAC8ALwAgACAAUgBlAHMAaQB6AGUAuwNcAG4ALwAvAC0ALQAtAC0ALQAtAC0ALQAtAC0ALQAtAC0ALQAtAC0ALQAtAC0ALQAtAC0ALQAtAC0ALQAtAC0ALQAtAC0ALQAtAC0ALQAtAC0ALQAtAC0ALQAtAC0ALQAtAC0ALQAtAC0ALQAtAC0ALQAtAC0ALQAtAC0ALQAtAC0ALQAtAC0ALQAtAC0ALQAtAC0ALQAtAC0ALQAtAC0ALQAtAC0ALQAtAC0ALQBcAG4ALwAvACAAIABBAHUAdABoAG8AcgA6ACAAIAAgACAAIAAgAFAAYQB0AHIAaQBjAGsAIABIAC4AXABuAC8ALwAgACAARABhAHQAZQA6ACAAIAAgACAAIAAgACAAIAAyAC8AMQA4AC8AMgAwADIANgBcAG4ALwAvACAAIABWAGUAcgBzAGkAbwBuADoAIAAgACAAIAAgADEALgAwAFwAbgAvAC8AXABuAC8ALwAgACAARABlAHMAYwByAGkAcAB0AGkAbwBuADoAXABuAC8ALwAgACAAIAAgACAAIABSAGUAcABlAGEAdABzACAAYQAgADIARAAgAGEAcgByAGEAeQAgAHYAZQByAHQAaQBjAGEAbABsAHkAIABhAG4AZAAvAG8AcgAgAGgAbwByAGkAegBvAG4AdABhAGwAbAB5ACAAYgB5ACAAaQBuAHQAZQBnAGUAcgAgAHIAZQBwAGUAYQB0ACAAYwBvAHUAbgB0AHMALgBcAG4ALwAvACAAIAAgACAAIAAgAFUAcwBlAHIAcwAgAG0AYQB5ACAAcwBwAGUAYwBpAGYAeQAgAGgAZQBpAGcAaAB0ACwAIAB3AGkAZAB0AGgALAAgAG8AcgAgAGIAbwB0AGgALgAgAEkAZgAgAGUAaQB0AGgAZQByACAAcABhAHIAYQBtAGUAdABlAHIAIABpAHMAIABvAG0AaQB0AHQAZQBkACwAXABuAC8ALwAgACAAIAAgACAAIAB0AGgAZQAgAG8AbQBpAHQAdABlAGQAIABkAGkAbQBlAG4AcwBpAG8AbgAgAGQAZQBmAGEAdQBsAHQAcwAgAHQAbwAgADEALgAgAEcAZQBvAG0AZQB0AHIAeQAgAGkAcwAgAHAAcgBlAHMAZQByAHYAZQBkADsAIABuAG8AIABmAGwAYQB0AHQAZQBuAGkAbgBnAFwAbgAvAC8AIAAgACAAIAAgACAAbwBjAGMAdQByAHMALgBcAG4ALwAvAFwAbgAvAC8AIAAgAEUAeABhAG0AcABsAGUAOgBcAG4ALwAvACAAIAAgACAAIAAgAEkAbgBwAHUAdAA6AFwAbgAvAC8AIAAgACAAIAAgACAAIAAgACAAIAB7ADEALAAyADsAXABuAC8ALwAgACAAIAAgACAAIAAgACAAIAAgACAAMwAsADQAfQBcAG4ALwAvAFwAbgAvAC8AIAAgACAAIAAgACAAPQBSAGUAcwBpAHoAZQC7AygAYQByAHIAYQB5ACwAIAAyACwAIAAzACkAXABuAC8ALwBcAG4ALwAvACAAIAAgACAAIAAgAE8AdQB0AHAAdQB0ADoAXABuAC8ALwAgACAAIAAgACAAIAAgACAAIAAgAHsAMQAsADIALAAxACwAMgAsADEALAAyADsAXABuAC8ALwAgACAAIAAgACAAIAAgACAAIAAgACAAMwAsADQALAAzACwANAAsADMALAA0ADsAXABuAC8ALwAgACAAIAAgACAAIAAgACAAIAAgACAAMQAsADIALAAxACwAMgAsADEALAAyADsAXABuAC8ALwAgACAAIAAgACAAIAAgACAAIAAgACAAMwAsADQALAAzACwANAAsADMALAA0AH0AXABuAC8ALwBcAG4ALwAvACAAIABQAGEAcgBhAG0AZQB0AGUAcgBzADoAXABuAC8ALwAgACAAIAAgACAAIABhAHIAcgBhAHkAIAAgACAAIAAgACAAIAAgABMgIABSAGUAcQB1AGkAcgBlAGQAIAAyAEQAIABhAHIAcgBhAHkAIAB0AG8AIABiAGUAIAByAGUAcABlAGEAdABlAGQALgBcAG4ALwAvACAAIAAgACAAIAAgAFsAaABlAGkAZwBoAHQAXQAgACAAIAAgACAAEyAgAE8AcAB0AGkAbwBuAGEAbAAgAHYAZQByAHQAaQBjAGEAbAAgAHIAZQBwAGUAYQB0ACAAYwBvAHUAbgB0AC4AIABEAGUAZgBhAHUAbAB0AHMAIAB0AG8AIAAxAC4AXABuAC8ALwAgACAAIAAgACAAIABbAHcAaQBkAHQAaABdACAAIAAgACAAIAAgABMgIABPAHAAdABpAG8AbgBhAGwAIABoAG8AcgBpAHoAbwBuAHQAYQBsACAAcgBlAHAAZQBhAHQAIABjAG8AdQBuAHQALgAgAEQAZQBmAGEAdQBsAHQAcwAgAHQAbwAgADEALgBcAG4ALwAvAFwAbgAvAC8AIAAgAE4AbwB0AGUAcwA6AFwAbgAvAC8AIAAgACAAIAAgACAAIiAgAFIAZQBwAGUAdABpAHQAaQBvAG4AIABpAHMAIABwAGUAcgBmAG8AcgBtAGUAZAAgAHYAaQBhACAAaQBuAGQAZQB4ACAAcgBlAG0AYQBwAHAAaQBuAGcALAAgAG4AbwB0ACAAYwBvAG4AYwBhAHQAZQBuAGEAdABpAG8AbgAuAFwAbgAvAC8AIAAgACAAIAAgACAAIiAgAE8AdQB0AHAAdQB0ACAAZwBlAG8AbQBlAHQAcgB5ACAAaQBzACAAKABoACAA1wAgAGgAZQBpAGcAaAB0ACkAIABiAHkAIAAoAHcAIADXACAAdwBpAGQAdABoACkALgBcAG4ALwAvAC0ALQAtAC0ALQAtAC0ALQAtAC0ALQAtAC0ALQAtAC0ALQAtAC0ALQAtAC0ALQAtAC0ALQAtAC0ALQAtAC0ALQAtAC0ALQAtAC0ALQAtAC0ALQAtAC0ALQAtAC0ALQAtAC0ALQAtAC0ALQAtAC0ALQAtAC0ALQAtAC0ALQAtAC0ALQAtAC0ALQAtAC0ALQAtAC0ALQAtAC0ALQAtAC0ALQAtAC0ALQBcAG4AXABuAFwAbgBSAGUAcwBpAHoAZQC7Az0AXABuAEwAQQBNAEIARABBACgAXABuACAAIAAgACAAYQByAHIAYQB5ACwAWwBoAGUAaQBnAGgAdABdACwAWwB3AGkAZAB0AGgAXQAsAFwAbgBcAG4ATABFAFQAKABcAG4AIAAgACAAIAAvAC8ARABpAG0AZQBuAHMAaQBvAG4AcwBcAG4AIAAgACAAIABoACwAIAAgAFIATwBXAFMAKABhAHIAcgBhAHkAKQAsACAAIAAgAHcALAAgACAAQwBPAEwAVQBNAE4AUwAoAGEAcgByAGEAeQApACwAXABuAFwAbgAgACAAIAAgAC8ALwBPAG0AaQBzAHMAaQBvAG4AIABjAGgAZQBjAGsAcwBcAG4AIAAgACAAIABIAGUAaQBnAGgAdABPAG0AaQB0AHQAZQBkAD8ALAAgACAAIAAgACAAIAAgACAASQBTAE8ATQBJAFQAVABFAEQAKABoAGUAaQBnAGgAdAApACwAXABuACAAIAAgACAAVwBpAGQAdABoAE8AbQBpAHQAdABlAGQAPwAsACAAIAAgACAAIAAgACAAIAAgAEkAUwBPAE0ASQBUAFQARQBEACgAdwBpAGQAdABoACkALABcAG4AIAAgACAAIABOAG8ASABXAEkAbgBwAHUAdAA/ACwAIAAgACAAIAAgACAAIAAgACAAIAAgACAASABlAGkAZwBoAHQATwBtAGkAdAB0AGUAZAA/ACAAKwAgAFcAaQBkAHQAaABPAG0AaQB0AHQAZQBkAD8AIAA9ACAAMgAsAFwAbgAgACAAIAAgAFwAbgAgACAAIAAgAC8ALwBEAGUAZgBhAHUAbAB0ACAAcgBlAHAAZQBhAHQAIABjAG8AdQBuAHQAcwBcAG4AIAAgACAAIABoAGUAaQBnAGgAdAAsACAAIAAgACAAIAAgACAAIAAgACAAIAAgACAAIAAgACAASQBGACgATwBSACgATgBvAEgAVwBJAG4AcAB1AHQAPwAsAEgAZQBpAGcAaAB0AE8AbQBpAHQAdABlAGQAPwApACwAMQAsAGgAZQBpAGcAaAB0ACkALABcAG4AIAAgACAAIAB3AGkAZAB0AGgALAAgACAAIAAgACAAIAAgACAAIAAgACAAIAAgACAAIAAgACAASQBGACgATwBSACgATgBvAEgAVwBJAG4AcAB1AHQAPwAsAFcAaQBkAHQAaABPAG0AaQB0AHQAZQBkAD8AKQAsADEALAB3AGkAZAB0AGgAKQAsAFwAbgBcAG4AIAAgACAAIAAvAC8AUwBjAGUAbgBhAHIAaQBvAHMAXABuACAAIAAgACAATgBvAFIAZQBwAGUAYQB0AD8ALAAgACAAIAAgACAAIAAgACAAIAAgACAAIAAgAEEATgBEACgAaABlAGkAZwBoAHQAPQAgADEALAB3AGkAZAB0AGgAIAA9ACAAMQApACwAXABuACAAIAAgACAASQBzAFMAYwBhAGwAYQByAD8ALAAgACAAIAAgACAAIAAgACAAIAAgACAAIAAgAEEATgBEACgAaAAgAD0AIAAxACwAIAB3ACAAPQAgADEAKQAsAFwAbgAgACAAIAAgAEUAeABwAGEAbgBkAFMAYwBhAGwAYQByACwAIAAgACAAIAAgACAAIAAgACAAIABFAFgAUABBAE4ARAAoAGEAcgByAGEAeQAsAGgAZQBpAGcAaAB0ACwAdwBpAGQAdABoACwAYQByAHIAYQB5ACkALABcAG4AIAAgACAAIABJAG4AdgBhAGwAaQBkAFIAZQBwAGUAYQB0AD8ALAAgACAAIAAgACAAIAAgACAATwBSACgASQBTAFQARQBYAFQAKABoAGUAaQBnAGgAdAApACwASQBTAFQARQBYAFQAKAB3AGkAZAB0AGgAKQAsAFwAbgAgACAAIAAgACAAIAAgACAAIAAgACAAIAAgACAAIAAgACAAIAAgACAAIAAgACAAIAAgACAAIAAgACAAIAAgACAATwBSACgAQQBOAEQAKABJAFMATgBVAE0AQgBFAFIAKABoAGUAaQBnAGgAdAApACwAaABlAGkAZwBoAHQAIAA8AD0AIAAwACkALABcAG4AIAAgACAAIAAgACAAIAAgACAAIAAgACAAIAAgACAAIAAgACAAIAAgACAAIAAgACAAIAAgACAAIAAgACAAIAAgAEEATgBEACgASQBTAE4AVQBNAEIARQBSACgAdwBpAGQAdABoACkALAB3AGkAZAB0AGgAIAA8AD0AIAAwACkAKQApACwAXABuAFwAbgAgACAAIAAgAC8ALwBMAG8AZwBpAGMAIABnAGEAdABlAFwAbgAgACAAIAAgAEkARgAoAE4AbwBSAGUAcABlAGEAdAA/ACwAYQByAHIAYQB5ACwAXABuAFwAbgAgACAAIAAgACAAIAAgACAASQBGACgASQBzAFMAYwBhAGwAYQByAD8ALABFAHgAcABhAG4AZABTAGMAYQBsAGEAcgAsAFwAbgBcAG4AIAAgACAAIAAgACAAIAAgACAAIAAgACAAIAAgACAAIABJAEYAKABJAG4AdgBhAGwAaQBkAFIAZQBwAGUAYQB0AD8ALABhAHIAcgBhAHkALABcAG4AXABuAC8ALwBQAHIAbwBjAGUAZQBkAFwAbgBMAEUAVAAoACAAIABcAG4AIAAgACAAIAAvAC8ARQB4AHAAYQBuAGQAZQBkACAAZABpAG0AZQBuAHMAaQBvAG4AcwBcAG4AIAAgACAAIABrACwAIAAgACAAIAAgACAAIABoACAAKgAgAGgAZQBpAGcAaAB0ACwAXABuACAAIAAgACAAawCCICwAIAAgACAAIAAgACAAdwAgACoAIAB3AGkAZAB0AGgALABcAG4AXABuACAAIAAgACAALwAvAEkAbgBkAGkAYwBlAHMAIAAtACAAZABlAGYAZQByAHIAZQBkAFwAbgAgACAAIAAgAGkALAAgACAAIAAgACAAIAAgAEwAQQBNAEIARABBACgAMQAgACsAIABNAE8ARAAoAFMARQBRAFUARQBOAEMARQAoAGsALAAsADAALAApACwAaAApACAAKgAgAFMARQBRAFUARQBOAEMARQAoACwAawCCICwAMQAsADAAKQApACwAXABuACAAIAAgACAAagAsACAAIAAgACAAIAAgACAATABBAE0AQgBEAEEAKAAxACAAKwAgAE0ATwBEACgAUwBFAFEAVQBFAE4AQwBFACgALABrAIIgLAAwACkALAB3ACkAIAAqACAAUwBFAFEAVQBFAE4AQwBFACgAawAsACwAMQAsADAAKQApACwAXABuACAAIAAgACAAXABuACAAIAAgACAALwAvAEMAbwBuAHMAdAByAHUAYwB0ACAAcgBlAHAAZQBhAHQAZQBkACAAYQByAHIAYQB5AFwAbgAgACAAIAAgAG4AZQB3AF8AYQByAHIALAAgAEkATgBEAEUAWAAoAGEAcgByAGEAeQAsAGkAKAApACwAagAoACkAKQAsAFwAbgAgACAAIAAgAG4AZQB3AF8AYQByAHIAXABuACkAKQApACkAKQApADsAXABuAFwAbgAvAC8AQQB1AHQAaABvAHIAOgAgACAAIABQAGEAdAByAGkAYwBrACAASAAuAFwAbgAvAC8ARABhAHQAZQA6ACAAIAAgACAAIAAxADAALwAyADcALwAyADAAMgA1AFwAbgAvAC8AVgBlAHIAcwBpAG8AbgA6ACAAIAAxAC4AMABcAG4ALwAvAFIAZQBwAG8AOgAgACAAIAAgACAAUABsAGUAYQBzAGUAIABzAGUAZQAgAFQAaABlACAARABpAGEAZwBvAG4AYQBsACAAUwB1AGkAdABlACAAZgBvAHIAIABhACAAZgB1AGwAbAAgAHMAdQBpAHQAZQAgAG8AZgAgAGYAdQBuAGMAdABpAG8AbgBzAC4AXABuAFwAbgAvAC8ALQAtAC0ALQAtAC0ALQAtAC0ALQAtAC0ALQAtAC0ALQAtAC0ALQAtAC0ALQAtAC0ALQAtAC0ALQAtAC0ALQAtAC0ALQAtAC0ALQAtAC0ALQAtAC0ALQAtAC0ALQAtAC0ALQAtAC0ALQAtAC0ALQAtAC0ALQAtAC0ALQAtAC0ALQAtAC0ALQAtAC0ALQAtAC0ALQAtAC0ALQAtAC0ALQAtAC0ALQAtAC0ALQAtAC0ALQAtAC0ALQBcAG4ALwAvAFQAcgBhAHYAZQByAHMAZQC7AyAALQAgACAAIABjAG8AdQBuAHQAZQByAF8AYwBsAG8AYwBrAHcAaQBzAGUAIABBAHgAaQBzACAAUgBlAG0AYQBwAHAAZQByAFwAbgAvAC8ALQAtAC0ALQAtAC0ALQAtAC0ALQAtAC0ALQAtAC0ALQAtAC0ALQAtAC0ALQAtAC0ALQAtAC0ALQAtAC0ALQAtAC0ALQAtAC0ALQAtAC0ALQAtAC0ALQAtAC0ALQAtAC0ALQAtAC0ALQAtAC0ALQAtAC0ALQAtAC0ALQAtAC0ALQAtAC0ALQAtAC0ALQAtAC0ALQAtAC0ALQAtAC0ALQAtAC0ALQAtAC0ALQAtAC0ALQAtAC0ALQBcAG4AXABuAC8ALwBUAGgAZQAgAHMAZQBsAGUAYwB0AGUAZAAgAGEAeABpAHMAIABpAHMAIAByAGUAbQBhAHAAcABlAGQAIAB0AG8AIAB0AGgAZQAgAHQAbwBwAC0AbABlAGYAdAAgAHQAcgBhAHYAZQByAHMAYQBsACAAbwByAGQAZQByAC4AXABuAFwAbgAvAC8AQQBjAGMAZQBwAHQAZQBkACAAYwBvAHUAbgB0AGUAcgBfAGMAbABvAGMAawB3AGkAcwBlAHMAOgBcAG4ALwAvACAAIABcACIATgBFAFwAIgAgAG8AcgAgADEAIACSISAATgBvAHIAdABoAGUAYQBzAHQAIAAoAJchKQBcAG4ALwAvACAAIABcACIAUwBFAFwAIgAgAG8AcgAgADIAIACSISAAUwBvAHUAdABoAGUAYQBzAHQAIAAoAJghKQBcAG4ALwAvACAAIABcACIAUwBXAFwAIgAgAG8AcgAgADMAIACSISAAUwBvAHUAdABoAHcAZQBzAHQAIAAoAJkhKQBcAG4AXABuAC8ALwBQAGEAcgBhAG0AZQB0AGUAcgBzADoAXABuAC8ALwBhAHIAcgBhAHkAIAAgACAAIAAgAJIhIAAgACAAMgBEACAAaQBuAHAAdQB0ACAAYQByAHIAYQB5ACAAKABzAGMAYQBsAGEAcgBzACAAbgBvAHQAIABhAGMAYwBlAHAAdABlAGQAKQBcAG4ALwAvAG4AZQB3AF8AYQB4AGkAcwAgACAAkiEgACAAIABBAHgAaQBzACAAYwBvAHUAbgB0AGUAcgBfAGMAbABvAGMAawB3AGkAcwBlACAAKABcACIATgBFAFwAIgAsACAAXAAiAFMARQBcACIALAAgAFwAIgBTAFcAXAAiACAAbwByACAAMQATIDMAKQBcAG4AXABuAFQAcgBhAHYAZQByAHMAZQC7AyAAPQBcAG4ATABBAE0AQgBEAEEAKABcAG4AIAAgACAAIABhAHIAcgBhAHkALABcAG4AIAAgACAAIABuAGUAdwBfAGEAeABpAHMALABcAG4AXABuAC8ALwBJAG4AcAB1AHQAIAB2AGEAbABpAGQAYQB0AGkAbwBuAFwAbgBJAEYAKABPAFIAKABSAE8AVwBTACgAYQByAHIAYQB5ACkAPQAxACwAQwBPAEwAVQBNAE4AUwAoAGEAcgByAGEAeQApAD0AMQApACwAIAAgACAAIAAgACAAIAAgACAAIAAgACAAIAAgACAAIABcACIAIwAyAEQALQBBAFIAUgBBAFkAIQBcACIALABcAG4ASQBGACgAQQBOAEQAKABJAFMATgBVAE0AQgBFAFIAKABuAGUAdwBfAGEAeABpAHMAKQAsAE8AUgAoAG4AZQB3AF8AYQB4AGkAcwA8AD0AMAAsAG4AZQB3AF8AYQB4AGkAcwA+ADMAKQApACwAXAAiACMAQQBYAEkAUwAhAFwAIgAsAFwAbgBcAG4ATABFAFQAKABcAG4AIAAgACAAIAAvAC8ARABpAG0AZQBuAHMAaQBvAG4AcwBcAG4AIAAgACAAIABpACwAIAAgACAAIAAgACAAUgBPAFcAUwAoAGEAcgByAGEAeQApACwAXABuACAAIAAgACAAagAsACAAIAAgACAAIAAgAEMATwBMAFUATQBOAFMAKABhAHIAcgBhAHkAKQAsAFwAbgBcAG4AIAAgACAAIAAvAC8AQQB4AGkAcwAgAHQAcgBhAHYAZQByAHMAYQBsACAAaQBuAGQAaQBjAGUAcwAgACgAZABlAGYAZQByAHIAZQBkACkAXABuACAAIAAgAFwAbgAgACAAIAAgAHgAXwBOAEUALAAgACAAIABMAEEATQBCAEQAQQAoAFMARQBRAFUARQBOAEMARQAoAGoALAAsADEALAAwACkAKgBTAEUAUQBVAEUATgBDAEUAKAAsAGkAKQApACwAXABuACAAIAAgACAAeQBfAE4ARQAsACAAIAAgAEwAQQBNAEIARABBACgAUwBFAFEAVQBFAE4AQwBFACgAagAsACwAagAsAC0AMQApACoAUwBFAFEAVQBFAE4AQwBFACgALABpACwAMQAsADAAKQApACwAXABuAFwAbgAgACAAIAAgAHgAXwBTAEUALAAgACAAIABMAEEATQBCAEQAQQAoAFMARQBRAFUARQBOAEMARQAoAGkALAAsAGkALAAtADEAKQAqAFMARQBRAFUARQBOAEMARQAoACwAagAsADEALAAwACkAKQAsAFwAbgAgACAAIAAgAHkAXwBTAEUALAAgACAAIABMAEEATQBCAEQAQQAoAFMARQBRAFUARQBOAEMARQAoAGkALAAsAGoALAAwACkAKwBTAEUAUQBVAEUATgBDAEUAKAAsAGoALAAwACwALQAxACkAKQAsAFwAbgAgACAAIAAgAFwAbgBcAG4AIAAgACAAIAB4AF8AUwBXACwAIAAgACAATABBAE0AQgBEAEEAKABTAEUAUQBVAEUATgBDAEUAKABqACwALABpACwAMAApACsAUwBFAFEAVQBFAE4AQwBFACgALABpACwAMAAsAC0AMQApACkALABcAG4AIAAgACAAIAB5AF8AUwBXACwAIAAgACAATABBAE0AQgBEAEEAKABTAEUAUQBVAEUATgBDAEUAKABqACwALAAxACkAKgBTAEUAUQBVAEUATgBDAEUAKAAsAGkALAAxACwAMAApACkALABcAG4AXABuACAAIAAgACAALwAvAEEAeABpAHMAIABtAG8AZABlACAAcwBlAGwAZQBjAHQAaQBvAG4AXABuACAAIAAgACAAbQBvAGQAZQAsACAAIAAgAEkARgAoAEkAUwBOAFUATQBCAEUAUgAoAG4AZQB3AF8AYQB4AGkAcwApACwAbgBlAHcAXwBhAHgAaQBzACwAXABuACAAIAAgACAAIAAgACAAIAAgACAAIAAgACAAIAAgACAAIAAgACAAIAAgACAAIAAgACAAIAAgACAAIAAgAFMAVwBJAFQAQwBIACgAbgBlAHcAXwBhAHgAaQBzACwAXAAiAE4ARQBcACIALAAxACwAXAAiAFMARQBcACIALAAyACwAXAAiAFMAVwBcACIALAAzACwAMQApACkALABcAG4AIAAgACAAIAAvAC8ASQBuAGQAZQB4ACAAcwBlAGwAZQBjAHQAaQBvAG4AXABuACAAIAAgACAAeAAsACAAIAAgACAAIAAgAEMASABPAE8AUwBFACgAbQBvAGQAZQAsAHgAXwBOAEUALAB4AF8AUwBFACwAeABfAFMAVwApACwAXABuACAAIAAgACAAeQAsACAAIAAgACAAIAAgAEMASABPAE8AUwBFACgAbQBvAGQAZQAsAHkAXwBOAEUALAB5AF8AUwBFACwAeQBfAFMAVwApACwAXABuACAAIAAgACAAXABuACAAIAAgACAALwAvAFUAbgB3AHIAYQBwACAAaQBuAGQAaQBjAGUAcwAgAGEAbgBkACAAZwBlAHQAIAByAGUAcwB1AGwAdABzAFwAbgAgACAAIAAgAHIAZQBzAHUAbAB0ACwAIABJAE4ARABFAFgAKABhAHIAcgBhAHkALAB4ACgAKQAsAHkAKAApACkALABcAG4AIAAgACAAIAByAGUAcwB1AGwAdABcAG4AKQApACkAKQA7AFwAbgBcAG4AXABuAC8ALwAtAC0ALQAtAC0ALQAtAC0ALQAtAC0ALQAtAC0ALQAtAC0ALQAtAC0ALQAtAC0ALQAtAC0ALQAtAC0ALQAtAC0ALQAtAC0ALQAtAC0ALQAtAC0ALQAtAC0ALQAtAC0ALQAtAC0ALQAtAC0ALQAtAC0ALQAtAC0ALQAtAC0ALQAtAC0ALQAtAC0ALQAtAC0ALQAtAC0ALQAtAC0ALQAtAC0ALQAtAC0AXABuAC8ALwAgAFMAcQB1AGUAZQB6AGUAuwNcAG4ALwAvAC0ALQAtAC0ALQAtAC0ALQAtAC0ALQAtAC0ALQAtAC0ALQAtAC0ALQAtAC0ALQAtAC0ALQAtAC0ALQAtAC0ALQAtAC0ALQAtAC0ALQAtAC0ALQAtAC0ALQAtAC0ALQAtAC0ALQAtAC0ALQAtAC0ALQAtAC0ALQAtAC0ALQAtAC0ALQAtAC0ALQAtAC0ALQAtAC0ALQAtAC0ALQAtAC0ALQAtAC0ALQBcAG4AXABuAC8ALwAgAEQAZQBzAGMAcgBpAHAAdABpAG8AbgA6AFwAbgAvAC8AIABSAGUAbQBvAHYAZQBzACAAbgB1AGwAbAAgAGEAbgBkACAAcwB0AHIAYQBpAGcAaAB0ACAAegBlAHIAbwAgAHYAZQByAHQAaQBjAGEAbAAgAG8AcgAgAGgAbwByAGkAegBvAG4AdABhAGwAIAB2AGUAYwB0AG8AcgBzACAAZgByAG8AbQAgAGEAIAAyAEQAIABhAHIAcgBhAHkALgBcAG4ALwAvACAAUwB1AHAAcABvAHIAdABzACAAbwBwAHQAaQBvAG4AYQBsACAAYwB1AHMAdABvAG0AIABjAHIAaQB0AGUAcgBpAGEAIABmAG8AcgAgAHIAZQBtAG8AdgBhAGwALgBcAG4ALwAvAC0ALQAtAC0ALQAtAC0ALQAtAC0ALQAtAC0ALQAtAC0ALQAtAC0ALQAtAC0ALQAtAC0ALQAtAC0ALQAtAC0ALQAtAC0ALQAtAC0ALQAtAC0ALQAtAC0ALQAtAC0ALQAtAC0ALQAtAC0ALQAtAC0ALQAtAC0ALQAtAC0ALQAtAC0ALQAtAC0ALQAtAC0ALQAtAC0ALQAtAC0ALQAtAC0ALQAtAC0ALQBcAG4ALwAvACAAUABhAHIAYQBtAGUAdABlAHIAcwA6AFwAbgAvAC8AIABhAHIAcgBhAHkAIAAgACAAIAAgACAAIAAgACAAIAAgAC0AIABhAHIAcgBhAHkAIAAoADEARAAgAG8AcgAgADIARAApACAAdwBoAGUAcgBlACAAcgBvAHcAcwAgAG8AcgAgAGMAbwBsAHUAbQBuAHMAIABhAHIAZQAgAHIAZQBtAG8AdgBlAGQALgBcAG4ALwAvACAATwBwAHQAaQBvAG4AYQBsACAAcABhAHIAYQBtAGUAdABlAHIAcwA6AFwAbgAvAC8AIABjAHUAcwB0AG8AbQBfAGMAcgBpAHQAZQByAGkAYQAgAC0AIABzAGMAYQBsAGEAcgAgAGMAcgBpAHQAZQByAGkAYQAgAGYAbwByACAAcgBlAG0AbwB2AGEAbAAgAG8AZgAgAHIAbwB3AHMAIABvAHIAIABjAG8AbAB1AG0AbgBzAC4AIABcAG4ALwAvACAAcwB1AHAAcAByAGUAcwBzAF8AegBlAHIAbwBzACAAIAAtACAAUwBlAHQAIAB0AG8AIABUAFIAVQBFACAAdwBpAGwAbAAgAHIAZQBwAGwAYQBjAGUAIAAwAHMAIAB3AGkAdABoACAAZQBtAHAAdAB5ACAAXAAiAFwAIgAgAGkAbgAgAGYAaQBuAGEAbAAgAHIAZQBzAHUAbAB0AC4AXABuAC8ALwAtAC0ALQAtAC0ALQAtAC0ALQAtAC0ALQAtAC0ALQAtAC0ALQAtAC0ALQAtAC0ALQAtAC0ALQAtAC0ALQAtAC0ALQAtAC0ALQAtAC0ALQAtAC0ALQAtAC0ALQAtAC0ALQAtAC0ALQAtAC0ALQAtAC0ALQAtAC0ALQAtAC0ALQAtAC0ALQAtAC0ALQAtAC0ALQAtAC0ALQAtAC0ALQAtAC0ALQAtAC0AXABuAFwAbgBcAG4AUwBxAHUAZQBlAHoAZQC7Az0AXABuAEwAQQBNAEIARABBACgAXABuACAAIAAgACAAYQByAHIAYQB5ACwAXABuACAAIAAgACAAWwBjAHUAcwB0AG8AbQBfAGMAcgBpAHQAZQByAGkAYQBdACwAXABuACAAIAAgACAAWwBzAHUAcABwAHIAZQBzAHMAXwB6AGUAcgBvAHMAXQAsAFwAbgBMAEUAVAAoAFwAbgBcAG4AIAAgACAAIABIAGkAZABlAFoAZQByAG8APwAsACAAIABOAE8AVAAoAEkAUwBPAE0ASQBUAFQARQBEACgAcwB1AHAAcAByAGUAcwBzAF8AegBlAHIAbwBzACkAKQAsAFwAbgBcAG4AIAAgACAAIAAvAC8AUwBoAGEAcABlAFwAbgAgACAAIAAgAGkALAAgACAAIAAgACAAIAAgACAAIAAgAFMARQBRAFUARQBOAEMARQAoAFIATwBXAFMAKABhAHIAcgBhAHkAKQApACwAIAAgAGoALAAgACAAIAAgAFMARQBRAFUARQBOAEMARQAoACwAQwBPAEwAVQBNAE4AUwAoAGEAcgByAGEAeQApACkALABcAG4AXABuACAAIAAgACAALwAvAFIAZQB0AGEAaQBuACAAbgBvAG4ALQBiAGwAYQBuAGsAIAByAG8AdwBzACwAIABjAG8AbAB1AG0AbgBzAC4AIABTAHQAcgBhAGkAZwBoAHQAIAB6AGUAcgBvACAAdgBlAGMAdABvAHIAcwAgAGEAcgBlACAAcAB1AHIAZwBlAGQALgBcAG4AIAAgACAAIABLAGUAZQBwALsDLAAgACAAIAAgACAAIABMAEEATQBCAEQAQQAoAHYALABOAE8AVAAoAEEATgBEACgAVABPAEMATwBMACgAdgAsADIAKQA9ADAAKQApACkALABcAG4AXABuACAAIAAgACAALwAvAEMAdQBzAHQAbwBtACAAYwByAGkAdABlAHIAaQBhAFwAbgAgACAAIAAgAEMAdQBzAHQAbwBtALsDLAAgACAAIAAgAEwAQQBNAEIARABBACgAdgAsAE4ATwBUACgAQQBOAEQAKABUAE8AQwBPAEwAKAB2ACwAMgApAD0AYwB1AHMAdABvAG0AXwBjAHIAaQB0AGUAcgBpAGEAKQApACkALABcAG4AXABuACAAIAAgACAALwAvAEYAdQBuAGMAdABpAG8AbgAgAHMAZQBsAGUAYwB0AGkAbgBvAFwAbgAgACAAIAAgAGYAbgAsACAAIAAgACAAIAAgACAAIAAgAEkARgAoAEkAUwBPAE0ASQBUAFQARQBEACgAYwB1AHMAdABvAG0AXwBjAHIAaQB0AGUAcgBpAGEAKQAsAEsAZQBlAHAAuwMsAEMAdQBzAHQAbwBtALsDKQAsAFwAbgBcAG4AIAAgACAAIABhACwAIAAgACAAIAAgACAAIAAgACAAIABUAE8AQwBPAEwAKABJAEYAKABCAFkAUgBPAFcAKABhAHIAcgBhAHkALABmAG4AKQAsAGkALABOAEEAKAApACkALAAyACkALABcAG4AIAAgACAAIABiACwAIAAgACAAIAAgACAAIAAgACAAIABUAE8AUgBPAFcAKABJAEYAKABCAFkAQwBPAEwAKABhAHIAcgBhAHkALABmAG4AKQAsAGoALABOAEEAKAApACkALAAyACkALABcAG4AIAAgACAAIABJAHMARQBtAHAAdAB5AD8ALAAgACAAIABBAE4ARAAoAEkAUwBFAFIAUgBPAFIAKABhACkALABJAFMARQBSAFIATwBSACgAYgApACkALABcAG4AXABuACAAIAAgACAALwAvAFIAZQBzAGUAdAAgAHMAaABhAHAAZQBcAG4AIAAgACAAIAB4ACwAIAAgACAAIAAgACAAIAAgACAAIABSAE8AVwBTACgAYQApACwAXABuACAAIAAgACAAeQAsACAAIAAgACAAIAAgACAAIAAgACAAQwBPAEwAVQBNAE4AUwAoAGIAKQAsAFwAbgBcAG4AIAAgACAAIAAvAC8ATQBlAHMAaAAgAGcAcgBpAGQAXABuACAAIAAgACAAcgAsACAAIAAgACAAIAAgACAAIAAgACAAYQAgACoAIABTAEUAUQBVAEUATgBDAEUAKAAsAHkALAAxACwAMAApACwAXABuACAAIAAgACAAYwAsACAAIAAgACAAIAAgACAAIAAgACAAYgAgACoAIABTAEUAUQBVAEUATgBDAEUAKAB4ACwALAAxACwAMAApACwAXABuAFwAbgAgACAAIAAgAC8ALwBHAGUAdAAgAHIAZQBzAHUAbAB0AHMALAAgAHMAdQBwAHAAcgBlAHMAcwAgADAAcwBcAG4AIAAgACAAIAByAGUAcwB1AGwAdAAsACAAIAAgACAAIABJAE4ARABFAFgAKABhAHIAcgBhAHkALAByACwAYwApACwAXABuACAAIAAgACAAcgBlAHMAdQBsAHQAXwBiACwAIAAgACAASQBGACgAcgBlAHMAdQBsAHQAPQAwACwAXAAiAFwAIgAsAHIAZQBzAHUAbAB0ACkALABcAG4AXABuACAAIAAgACAAZABlAGwAaQB2AGUAcgAsACAAIAAgACAASQBGACgASQBzAEUAbQBwAHQAeQA/ACwAXAAiACMARQBNAFAAVABZAC0AQQBSAFIAQQBZACEAXAAiACwASQBGACgASABpAGQAZQBaAGUAcgBvAD8ALAByAGUAcwB1AGwAdABfAGIALAByAGUAcwB1AGwAdAApACkALABcAG4AIAAgACAAIABkAGUAbABpAHYAZQByAFwAbgApACkAOwBcAG4AXABuAFwAbgBcAG4ALwAvACAAQQB1AHQAaABvAHIAOgAgACAAIAAgACAAIABQAGEAdAByAGkAYwBrACAASAAuAFwAbgAvAC8AIABGAHUAbgBjAHQAaQBvAG4AOgAgACAAIAAgAFMAcABpAHIAYQBsALsDXABuAC8ALwAgAFYAZQByAHMAaQBvAG4AOgAgACAAIAAgACAAMQAuADAAIAAgACAAIABcAG4ALwAvACAAUAB1AGIAbABpAHMAaABlAGQAOgAgACAAIAA5AC8AMgA5AC8AMgAwADIANQBcAG4ALwAvACAARABlAHMAYwByAGkAcAB0AGkAbwBuADoAIABTAHAAaQByAGEAbAC7AyAAYwByAGUAYQB0AGUAcwAgAGEAIABjAGwAbwBjAGsAdwBpAHMAZQAgAFUAbABhAG0AIABzAHAAaQByAGEAbAAgAGIAeQAgAHMAcABlAGMAaQBmAHkAaQBuAGcAIAB0AGgAZQAgAG4AdQBtAGIAZQByACAAbwBmACAAcgBpAG4AZwBzAFwAbgAvAC8AIAAgACAAIAAgACAAIAAgACAAIAAgACAAIAAgAGEAbgBkACAAYQBuACAAbwBwAHQAaQBvAG4AYQBsACAAcwB0AGEAcgB0AGkAbgBnACAAaQBuAHQAZQBnAGUAcgAuACAAQQAgADMA1wAzACAAbQBhAHQAcgBpAHgAIABoAGEAcwAgADEAIAByAGkAbgBnACAAYQByAG8AdQBuAGQAIAB0AGgAZQAgAGMAZQBuAHQAZQByAC4AXABuAC8ALwAgACAAIAAgACAAIAAgACAAIAAgACAAIAAgACAAVABoAGkAcwAgAG0AbwBkAHUAbABlACAAZABlAG0AbwBuAHMAdAByAGEAdABlAHMAIABoAG8AdwAgAGQAZQBmAGUAcgByAGUAZAAgAG0AdQBsAHQAaQBwAGwAaQBjAGEAdABpAG8AbgAgAGEAbgBkACAAdABoAHUAbgBrAGUAZAAgAHMAZQBxAHUAZQBuAGMAaQBuAGcAXABuAC8ALwAgACAAIAAgACAAIAAgACAAIAAgACAAIAAgACAAaQBtAHAAcgBvAHYAZQAgAGMAYQBsAGMAdQBsAGEAdABpAG8AbgAgAHQAaQBtAGUAIABhAG4AZAAgAGMAbwBtAHAAbwBzAGkAdABpAG8AbgBhAGwAIABjAGwAYQByAGkAdAB5AC4AXABuAFwAbgBcAG4AUwBwAGkAcgBhAGwAuwMgAD0AXABuAFwAbgBMAEEATQBCAEQAQQAoAFwAbgByAGkAbgBnAHMALAAgACAAIAAgACAAIAAgACAALwAvAE4AdQBtAGIAZQByACAAbwBmACAAYwBvAG0AcABsAGUAdABlACAAcgBlAHYAbwBsAHUAdABpAG8AbgBzACAAYQByAG8AdQBuAGQAIAB0AGgAZQAgAGMAZQBuAHQAZQByAFwAbgBbAHMAdABhAHIAdABfAGEAdABdACwAIAAgACAALwAvAE8AcAB0AGkAbwBuAGEAbAA6ACAAUwB0AGEAcgB0AGkAbgBnACAAaQBuAHQAZQBnAGUAcgAgAGEAdAAgAHMAcABpAHIAYQBsACAAYwBvAHIAZQAgACgAZABlAGYAYQB1AGwAdAAgAD0AIAAxACkAXABuAFwAbgBMAEUAVAAoAFwAbgAgACAAIAAgAHMAdABhAHIAdABfAGEAdAAsACAASQBGACgASQBTAE8ATQBJAFQAVABFAEQAKABzAHQAYQByAHQAXwBhAHQAKQAsACAAMQAsACAAcwB0AGEAcgB0AF8AYQB0ACkALABcAG4ALwAvAEMAYQByAHQAZQBzAGkAYQBuACAAYwBvAG8AcgBkAGkAbgBhAHQAZQAgAGcAcgBpAGQAOgBcAG4AIAAgACAAIABpACwAIABMAEEATQBCAEQAQQAoAFMARQBRAFUARQBOAEMARQAoAHIAaQBuAGcAcwAgACoAIAAyACAAKwAgADEALAAgACwAIAByAGkAbgBnAHMALAAgAC0AMQApACkALABcAG4AIAAgACAAIABqACwAIABMAEEATQBCAEQAQQAoAFMARQBRAFUARQBOAEMARQAoACwAIAByAGkAbgBnAHMAIAAqACAAMgAgACsAIAAxACwAIAAtAHIAaQBuAGcAcwAsACAAMQApACkALABcAG4AXABuACAAIAAgACAAeAAsACAATABBAE0AQgBEAEEAKABqACgAKQAgACoAIABTAEUAUQBVAEUATgBDAEUAKAByAGkAbgBnAHMAIAAqACAAMgAgACsAIAAxACwAIAAsACAAMQAsACAAMAApACkALABcAG4AIAAgACAAIAB5ACwAIABMAEEATQBCAEQAQQAoAGkAKAApACAAKgAgAFMARQBRAFUARQBOAEMARQAoACwAIAByAGkAbgBnAHMAIAAqACAAMgAgACsAIAAxACwAIAAxACwAIAAwACkAKQAsAFwAbgBcAG4ALwAvAFEAdQBhAGQAcgBhAG4AdAAgAGYAbABhAGcAcwBcAG4AIAAgACAAIABhAF8ALAAgAEwAQQBNAEIARABBACgAKABBAEIAUwAoAHgAKAApACkAIAA+ACAAQQBCAFMAKAB5ACgAKQApACkAIAAqACAAKAB4ACgAKQAgAD4AIAAwACkAKQAsACAAIAAvAC8AUgBpAGcAaAB0AFwAbgAgACAAIAAgAGIAXwAsACAATABBAE0AQgBEAEEAKAAoAEEAQgBTACgAeAAoACkAKQAgAD4AIABBAEIAUwAoAHkAKAApACkAKQAgACoAIAAoAHgAKAApACAAPAA9ACAAMAApACkALAAgAC8ALwBMAGUAZgB0AFwAbgAgACAAIAAgAGMAXwAsACAATABBAE0AQgBEAEEAKAAoAEEAQgBTACgAeAAoACkAKQAgADwAPQAgAEEAQgBTACgAeQAoACkAKQApACAAKgAgACgAeQAoACkAIAA+ACAAMAApACkALAAgAC8ALwBUAG8AcABcAG4AIAAgACAAIABkAF8ALAAgAEwAQQBNAEIARABBACgAKABBAEIAUwAoAHgAKAApACkAIAA8AD0AIABBAEIAUwAoAHkAKAApACkAKQAgACoAIAAoAHkAKAApACAAPAA9ACAAMAApACkALAAvAC8AQgBvAHQAdABvAG0AXABuAFwAbgAvAC8AUQB1AGEAZAByAGEAbgB0ACAAZgBvAHIAbQB1AGwAYQBzAFwAbgAgACAAIAAgAGEALAAgAEwAQQBNAEIARABBACgANAAgACoAIAB4ACgAKQAgAF4AIAAyACAALQAgADMAIAAqACAAeAAoACkAIAArACAAeQAoACkAKQAsAFwAbgAgACAAIAAgAGIALAAgAEwAQQBNAEIARABBACgANAAgACoAIAB4ACgAKQAgAF4AIAAyACAALQAgAHgAKAApACAALQAgAHkAKAApACkALABcAG4AIAAgACAAIABjACwAIABMAEEATQBCAEQAQQAoADQAIAAqACAAeQAoACkAIABeACAAMgAgAC0AIAB5ACgAKQAgAC0AIAB4ACgAKQApACwAXABuACAAIAAgACAAZAAsACAATABBAE0AQgBEAEEAKAA0ACAAKgAgAHkAKAApACAAXgAgADIAIAAtACAAMwAgACoAIAB5ACgAKQAgACsAIAB4ACgAKQApACwAXABuAC8ALwBTAHAAaQByAGEAbAAgAGQAZQBsAGkAdgBlAHIAeQBcAG4AIAAgACAAIABkAGUAbABpAHYAZQByAHkALAAgAHMAdABhAHIAdABfAGEAdAAgACsAIABJAEYAKABhAF8AKAApACwAIABhACgAKQAsACAASQBGACgAYgBfACgAKQAsACAAYgAoACkALAAgAEkARgAoAGMAXwAoACkALAAgAGMAKAApACwAIABkACgAKQApACkAKQAsAFwAbgAgACAAIAAgAGQAZQBsAGkAdgBlAHIAeQApACkAOwAiAH0AXQAsACIAcAByAG8AagBlAGMAdABOAGEAbQBlAHMAIgA6AFsAIgBSAG8AdABhAHQAZQAyAEQAuwMiACwAIgBSAGkAbgBnAFIAbwB0AGEAdABlAFIAZQB2ALsDIgAsACIAUgBpAG4AZwBSAG8AdABhAHQAZQC7AyIALAAiAFIAaQBuAGcAuwMiACwAIgBNAEcAcgBpAGQAuwMiACwAIgBSAGUAcwBpAHoAZQC7AyIALAAiAFQAcgBhAHYAZQByAHMAZQC7AyIALAAiAFMAcQB1AGUAZQB6AGUAuwMiACwAIgBTAHAAaQByAGEAbAC7AyIAXQAsACIAbABvAGMAYQBsAGUAIgA6AHsAIgBsAGkAcwB0AFMAZQBwAGEAcgBhAHQAbwByACIAOgAiACwAIgAsACIAcgBvAHcAUwBlAHAAYQByAGEAdABvAHIAIgA6ACIAOwAiACwAIgBjAG8AbAB1AG0AbgBTAGUAcABhAHIAYQB0AG8AcgAiADoAIgAsACIALAAiAHQAaABvAHUAcwBhAG4AZABzAFMAZQBwAGEAcgBhAHQAbwByACIAOgAiACwAIgAsACIAdABoAG8AdQBzAGEAbgBkAHMAUABvAHMAaQB0AGkAbwBuAHMAIgA6AFsAMwBdACwAIgBkAGUAYwBpAG0AYQBsAFMAZQBwAGEAcgBhAHQAbwByACIAOgAiAC4AIgAsACIAZABhAHQAZQBPAHIAZABlAHIAIgA6ACIATQBEAFkAIgAsACIAYwB1AHIAcgBlAG4AYwB5AFMAeQBtAGIAbwBsACIAOgAiACQAIgAsACIAaQBzAEMAdQByAHIAZQBuAGMAeQBTAHkAbQBiAG8AbABMAGUAYQBkACIAOgB0AHIAdQBlACwAIgBpAHMAQwB1AHIAcgBlAG4AYwB5AFMAZQBwAEIAeQBTAHAAYQBjAGUAIgA6AGYAYQBsAHMAZQAsACIAcgBvAHcATABlAHQAdABlAHIAIgA6ACIAUgAiACwAIgBjAG8AbAB1AG0AbgBMAGUAdAB0AGUAcgAiADoAIgBDACIALAAiAHIAYwBMAGUAZgB0AEIAcgBhAGMAawBlAHQAIgA6ACIAWwAiACwAIgByAGMAUgBpAGcAaAB0AEIAcgBhAGMAawBlAHQAIgA6ACIAXQAiACwAIgBzAHQAYQB0AGUAbQBlAG4AdABTAGUAcABhAHIAYQB0AG8AcgAiADoAIgA7ACIALAAiAGwAbwBjAGEAbABlAE4AYQBtAGUAIgA6ACIAZQBuAC0AdQBzACIAfQB9AA==</AFEJSONBlob>
</file>

<file path=customXml/itemProps1.xml><?xml version="1.0" encoding="utf-8"?>
<ds:datastoreItem xmlns:ds="http://schemas.openxmlformats.org/officeDocument/2006/customXml" ds:itemID="{E0DD5E98-6E7A-4F49-997C-F9226A2991B3}">
  <ds:schemaRefs>
    <ds:schemaRef ds:uri="http://schemas.advancedformulaenvironment.officeapps.live.com/afejsonblob/1.0"/>
  </ds:schemaRefs>
</ds:datastoreItem>
</file>

<file path=docMetadata/LabelInfo.xml><?xml version="1.0" encoding="utf-8"?>
<clbl:labelList xmlns:clbl="http://schemas.microsoft.com/office/2020/mipLabelMetadata">
  <clbl:label id="{8d0d81ba-ed03-4c6f-9248-a3b3967ca35c}" enabled="0" method="" siteId="{8d0d81ba-ed03-4c6f-9248-a3b3967ca35c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4</vt:i4>
      </vt:variant>
    </vt:vector>
  </HeadingPairs>
  <TitlesOfParts>
    <vt:vector size="6" baseType="lpstr">
      <vt:lpstr>Start</vt:lpstr>
      <vt:lpstr>Ulam spiral rotation</vt:lpstr>
      <vt:lpstr>Clock</vt:lpstr>
      <vt:lpstr>direction</vt:lpstr>
      <vt:lpstr>input_rot</vt:lpstr>
      <vt:lpstr>Letters</vt:lpstr>
    </vt:vector>
  </TitlesOfParts>
  <Company>Alithya Canada Inc.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Patrick Hogan</dc:creator>
  <cp:lastModifiedBy>Patrick Hogan</cp:lastModifiedBy>
  <dcterms:created xsi:type="dcterms:W3CDTF">2026-02-26T15:15:22Z</dcterms:created>
  <dcterms:modified xsi:type="dcterms:W3CDTF">2026-03-09T15:01:06Z</dcterms:modified>
</cp:coreProperties>
</file>